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57CFBBCD-374F-4BC7-868B-97501DC250A1}" xr6:coauthVersionLast="47" xr6:coauthVersionMax="47" xr10:uidLastSave="{00000000-0000-0000-0000-000000000000}"/>
  <bookViews>
    <workbookView xWindow="-120" yWindow="-120" windowWidth="29040" windowHeight="15720" tabRatio="763" firstSheet="2" activeTab="7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test8OracleRevenue" sheetId="29" r:id="rId8"/>
    <sheet name="test9Oracle2" sheetId="31" r:id="rId9"/>
    <sheet name="test10oracleRewards" sheetId="32" r:id="rId10"/>
    <sheet name="test10bitDecoding" sheetId="28" r:id="rId11"/>
  </sheets>
  <definedNames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9" l="1"/>
  <c r="D26" i="29"/>
  <c r="H71" i="29"/>
  <c r="P39" i="29"/>
  <c r="AA39" i="29"/>
  <c r="AB8" i="29"/>
  <c r="AB84" i="29"/>
  <c r="AB80" i="29"/>
  <c r="AB82" i="29"/>
  <c r="AB83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N63" i="29" l="1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N28" i="24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4" i="15"/>
  <c r="J5" i="15"/>
  <c r="K8" i="15" s="1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H14" i="29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H12" i="29"/>
  <c r="G30" i="32"/>
  <c r="O32" i="32"/>
  <c r="N32" i="32"/>
  <c r="M32" i="32"/>
  <c r="H38" i="32"/>
  <c r="F38" i="32"/>
  <c r="I31" i="32"/>
  <c r="H31" i="32"/>
  <c r="E31" i="32"/>
  <c r="E30" i="32"/>
  <c r="I29" i="32"/>
  <c r="E29" i="32"/>
  <c r="I28" i="32"/>
  <c r="I30" i="32" s="1"/>
  <c r="E28" i="32"/>
  <c r="I27" i="32"/>
  <c r="H10" i="29"/>
  <c r="H8" i="29"/>
  <c r="H6" i="29"/>
  <c r="D33" i="20"/>
  <c r="E33" i="20"/>
  <c r="C31" i="20"/>
  <c r="C34" i="20" s="1"/>
  <c r="E20" i="20"/>
  <c r="E25" i="20" s="1"/>
  <c r="F24" i="20" s="1"/>
  <c r="G24" i="20" s="1"/>
  <c r="H24" i="20" s="1"/>
  <c r="I24" i="20" s="1"/>
  <c r="D20" i="20"/>
  <c r="D22" i="20" s="1"/>
  <c r="V64" i="29" l="1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J24" i="20"/>
  <c r="D21" i="20"/>
  <c r="K7" i="15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D25" i="20"/>
  <c r="E21" i="20"/>
  <c r="E22" i="20"/>
  <c r="L23" i="32" l="1"/>
  <c r="AB78" i="29"/>
  <c r="L22" i="32"/>
  <c r="AB77" i="29"/>
  <c r="L25" i="32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L30" i="32"/>
  <c r="Y83" i="29"/>
  <c r="Y78" i="29"/>
  <c r="V44" i="29"/>
  <c r="V37" i="29"/>
  <c r="Y79" i="29"/>
  <c r="L28" i="32"/>
  <c r="L26" i="32"/>
  <c r="Y82" i="29"/>
  <c r="Y84" i="29"/>
  <c r="Y80" i="29"/>
  <c r="L29" i="32"/>
  <c r="L24" i="32"/>
  <c r="L27" i="32"/>
  <c r="Y86" i="29"/>
  <c r="P45" i="29"/>
  <c r="Q45" i="29"/>
  <c r="V38" i="29"/>
  <c r="N22" i="24"/>
  <c r="K6" i="24"/>
  <c r="K11" i="24"/>
  <c r="K5" i="24"/>
  <c r="K4" i="24"/>
  <c r="F5" i="24"/>
  <c r="F6" i="24"/>
  <c r="K12" i="24" s="1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4" i="24"/>
  <c r="N27" i="27"/>
  <c r="N26" i="27"/>
  <c r="N25" i="27"/>
  <c r="N20" i="27"/>
  <c r="N19" i="27"/>
  <c r="N18" i="27"/>
  <c r="N13" i="27"/>
  <c r="N11" i="27"/>
  <c r="N6" i="27"/>
  <c r="N5" i="27"/>
  <c r="N4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N12" i="27" s="1"/>
  <c r="F4" i="27"/>
  <c r="L26" i="1"/>
  <c r="L25" i="1"/>
  <c r="L20" i="1"/>
  <c r="L18" i="1"/>
  <c r="L13" i="1"/>
  <c r="L6" i="1"/>
  <c r="L4" i="1"/>
  <c r="L11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L27" i="1" s="1"/>
  <c r="F6" i="1"/>
  <c r="L19" i="1" s="1"/>
  <c r="F5" i="1"/>
  <c r="F4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N71" i="29" l="1"/>
  <c r="N72" i="29" s="1"/>
  <c r="N40" i="29"/>
  <c r="G37" i="32"/>
  <c r="G36" i="32"/>
  <c r="G35" i="32"/>
  <c r="AA68" i="29"/>
  <c r="R45" i="29"/>
  <c r="AA41" i="29"/>
  <c r="AA42" i="29" s="1"/>
  <c r="N28" i="29"/>
  <c r="N29" i="29"/>
  <c r="L31" i="32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G34" i="32"/>
  <c r="G38" i="32" s="1"/>
  <c r="G41" i="32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N6" i="29" s="1"/>
  <c r="M5" i="29"/>
  <c r="F20" i="20"/>
  <c r="C20" i="20"/>
  <c r="C2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D28" i="20" l="1"/>
  <c r="D27" i="20"/>
  <c r="F21" i="20"/>
  <c r="F25" i="20"/>
  <c r="S12" i="29"/>
  <c r="V13" i="29"/>
  <c r="F22" i="20"/>
  <c r="Z29" i="27"/>
  <c r="V25" i="27"/>
  <c r="S8" i="29"/>
  <c r="N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V9" i="29" l="1"/>
  <c r="V11" i="29"/>
  <c r="E27" i="20"/>
  <c r="D30" i="20"/>
  <c r="E28" i="20"/>
  <c r="F28" i="20" s="1"/>
  <c r="D32" i="20"/>
  <c r="O8" i="29"/>
  <c r="V8" i="29"/>
  <c r="V10" i="29"/>
  <c r="O10" i="29"/>
  <c r="V7" i="29"/>
  <c r="V6" i="29"/>
  <c r="O6" i="29"/>
  <c r="O12" i="29"/>
  <c r="V12" i="29"/>
  <c r="V14" i="29"/>
  <c r="U41" i="27"/>
  <c r="W25" i="27"/>
  <c r="AC5" i="27"/>
  <c r="AC29" i="27" s="1"/>
  <c r="AB18" i="27"/>
  <c r="AB29" i="27" s="1"/>
  <c r="N9" i="29"/>
  <c r="N1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G28" i="20" l="1"/>
  <c r="F32" i="20"/>
  <c r="F27" i="20"/>
  <c r="E30" i="20"/>
  <c r="G25" i="20"/>
  <c r="H19" i="20" s="1"/>
  <c r="G21" i="20"/>
  <c r="G22" i="20"/>
  <c r="E32" i="20"/>
  <c r="N12" i="29"/>
  <c r="AB7" i="29" s="1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I19" i="20" l="1"/>
  <c r="H20" i="20"/>
  <c r="J19" i="20"/>
  <c r="G27" i="20"/>
  <c r="F31" i="20"/>
  <c r="F30" i="20"/>
  <c r="H28" i="20"/>
  <c r="G32" i="20"/>
  <c r="F34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3" i="20"/>
  <c r="I20" i="20"/>
  <c r="N40" i="27"/>
  <c r="U40" i="27" s="1"/>
  <c r="X19" i="27"/>
  <c r="X20" i="27" s="1"/>
  <c r="J21" i="20" l="1"/>
  <c r="J22" i="20"/>
  <c r="J29" i="20"/>
  <c r="J33" i="20" s="1"/>
  <c r="J25" i="20"/>
  <c r="I22" i="20"/>
  <c r="I21" i="20"/>
  <c r="I25" i="20"/>
  <c r="H31" i="20"/>
  <c r="H34" i="20" s="1"/>
  <c r="I27" i="20"/>
  <c r="H30" i="20"/>
  <c r="J23" i="20"/>
  <c r="I28" i="20"/>
  <c r="I29" i="20"/>
  <c r="I33" i="20" s="1"/>
  <c r="N41" i="27"/>
  <c r="X25" i="27"/>
  <c r="X26" i="27" s="1"/>
  <c r="X27" i="27" s="1"/>
  <c r="T37" i="27" s="1"/>
  <c r="X21" i="27"/>
  <c r="L12" i="24"/>
  <c r="L11" i="24"/>
  <c r="I31" i="20" l="1"/>
  <c r="I30" i="20"/>
  <c r="J27" i="20"/>
  <c r="I32" i="20"/>
  <c r="J28" i="20"/>
  <c r="J32" i="20" s="1"/>
  <c r="N12" i="24"/>
  <c r="O12" i="24" s="1"/>
  <c r="O15" i="24"/>
  <c r="N11" i="24"/>
  <c r="J31" i="20" l="1"/>
  <c r="J34" i="20" s="1"/>
  <c r="J30" i="20"/>
  <c r="O11" i="24"/>
  <c r="N27" i="24"/>
  <c r="N24" i="24"/>
  <c r="O16" i="24"/>
  <c r="R4" i="1"/>
  <c r="K13" i="15" l="1"/>
  <c r="K12" i="15"/>
  <c r="N25" i="24"/>
  <c r="N26" i="24" s="1"/>
  <c r="M6" i="1"/>
  <c r="N6" i="1"/>
  <c r="N4" i="1"/>
  <c r="M4" i="1"/>
  <c r="Q4" i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N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S4" i="1" s="1"/>
  <c r="W4" i="1"/>
  <c r="W5" i="1" s="1"/>
  <c r="W6" i="1" s="1"/>
  <c r="N18" i="1" l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5" i="1"/>
  <c r="R6" i="1" s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T4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AA7" i="29" l="1"/>
  <c r="N13" i="29"/>
  <c r="N14" i="29" l="1"/>
  <c r="Q14" i="29"/>
  <c r="AA9" i="29" s="1"/>
  <c r="O14" i="29"/>
  <c r="AA8" i="29" s="1"/>
  <c r="AA12" i="29" s="1"/>
  <c r="P14" i="29"/>
  <c r="G42" i="32"/>
  <c r="G43" i="32" s="1"/>
  <c r="G44" i="32" s="1"/>
  <c r="AA10" i="29"/>
  <c r="N15" i="29"/>
  <c r="AB9" i="29" l="1"/>
  <c r="D31" i="20" l="1"/>
  <c r="D34" i="20"/>
  <c r="E31" i="20"/>
  <c r="E34" i="20" s="1"/>
</calcChain>
</file>

<file path=xl/sharedStrings.xml><?xml version="1.0" encoding="utf-8"?>
<sst xmlns="http://schemas.openxmlformats.org/spreadsheetml/2006/main" count="863" uniqueCount="280">
  <si>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</si>
  <si>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</si>
  <si>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</si>
  <si>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</si>
  <si>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</si>
  <si>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</si>
  <si>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</si>
  <si>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</si>
  <si>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</si>
  <si>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</si>
  <si>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</si>
  <si>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</si>
  <si>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</si>
  <si>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</si>
  <si>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</si>
  <si>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</si>
  <si>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</si>
  <si>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</si>
  <si>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</si>
  <si>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</si>
  <si>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</si>
  <si>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</si>
  <si>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</si>
  <si>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</si>
  <si>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</si>
  <si>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</si>
  <si>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</si>
  <si>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</si>
  <si>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</si>
  <si>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</si>
  <si>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</si>
  <si>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</si>
  <si>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</si>
  <si>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</si>
  <si>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</si>
  <si>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</si>
  <si>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</si>
  <si>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</si>
  <si>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</si>
  <si>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</si>
  <si>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</si>
  <si>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</si>
  <si>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</si>
  <si>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</si>
  <si>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</si>
  <si>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</si>
  <si>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</si>
  <si>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</si>
  <si>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</si>
  <si>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</si>
  <si>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</si>
  <si>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</si>
  <si>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</si>
  <si>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</si>
  <si>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</si>
  <si>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</si>
  <si>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</si>
  <si>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</si>
  <si>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</si>
  <si>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</si>
  <si>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</si>
  <si>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</si>
  <si>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</si>
  <si>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</si>
  <si>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</si>
  <si>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</si>
  <si>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</si>
  <si>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</si>
  <si>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</si>
  <si>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</si>
  <si>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</si>
  <si>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</si>
  <si>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</si>
  <si>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</si>
  <si>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</si>
  <si>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</si>
  <si>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</si>
  <si>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</si>
  <si>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</si>
  <si>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</si>
  <si>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</si>
  <si>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</si>
  <si>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</si>
  <si>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</si>
  <si>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</si>
  <si>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</si>
  <si>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</si>
  <si>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</si>
  <si>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</si>
  <si>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</si>
  <si>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</si>
  <si>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</si>
  <si>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</si>
  <si>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</si>
  <si>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</si>
  <si>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</si>
  <si>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</si>
  <si>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</si>
  <si>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</si>
  <si>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</si>
  <si>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</si>
  <si>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</si>
  <si>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</si>
  <si>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</si>
  <si>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</si>
  <si>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</si>
  <si>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</si>
  <si>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</si>
  <si>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</si>
  <si>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</si>
  <si>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</si>
  <si>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</si>
  <si>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</si>
  <si>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</si>
  <si>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</si>
  <si>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</si>
  <si>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</si>
  <si>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</si>
  <si>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</si>
  <si>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</si>
  <si>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</si>
  <si>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</si>
  <si>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</si>
  <si>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</si>
  <si>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</si>
  <si>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</si>
  <si>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</si>
  <si>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</si>
  <si>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</si>
  <si>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</si>
  <si>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</si>
  <si>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</si>
  <si>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</si>
  <si>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</si>
  <si>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</si>
  <si>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</si>
  <si>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</si>
  <si>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</si>
  <si>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</si>
  <si>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</si>
  <si>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</si>
  <si>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</si>
  <si>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</si>
  <si>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</si>
  <si>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</si>
  <si>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</si>
  <si>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</si>
  <si>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</si>
  <si>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</si>
  <si>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</si>
  <si>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</si>
  <si>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</si>
  <si>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</si>
  <si>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</si>
  <si>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</si>
  <si>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</si>
  <si>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</si>
  <si>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</si>
  <si>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</si>
  <si>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</si>
  <si>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</si>
  <si>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</si>
  <si>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</si>
  <si>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</si>
  <si>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</si>
  <si>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</si>
  <si>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</si>
  <si>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</si>
  <si>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</si>
  <si>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</si>
  <si>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</si>
  <si>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</si>
  <si>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</si>
  <si>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</si>
  <si>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</si>
  <si>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</si>
  <si>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</si>
  <si>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</si>
  <si>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</si>
  <si>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</si>
  <si>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</si>
  <si>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</si>
  <si>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</si>
  <si>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</si>
  <si>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</si>
  <si>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</si>
  <si>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</si>
  <si>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</si>
  <si>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</si>
  <si>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</si>
  <si>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</si>
  <si>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</si>
  <si>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</si>
  <si>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</si>
  <si>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</si>
  <si>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</si>
  <si>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</si>
  <si>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</si>
  <si>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</si>
  <si>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</si>
  <si>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</si>
  <si>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</si>
  <si>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</si>
  <si>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</si>
  <si>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</si>
  <si>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</si>
  <si>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</si>
  <si>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</si>
  <si>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</si>
  <si>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</si>
  <si>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</si>
  <si>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</si>
  <si>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</si>
  <si>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</si>
  <si>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</si>
  <si>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</si>
  <si>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</si>
  <si>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</si>
  <si>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</si>
  <si>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</si>
  <si>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</si>
  <si>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</si>
  <si>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</si>
  <si>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</si>
  <si>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Test9</t>
  </si>
  <si>
    <t>Test8-Finney</t>
  </si>
  <si>
    <t>Test10-Finney</t>
  </si>
  <si>
    <t>Test11-Finney</t>
  </si>
  <si>
    <t>Acct4</t>
  </si>
  <si>
    <t>Account4</t>
  </si>
  <si>
    <t>feeData[0]</t>
  </si>
  <si>
    <t>feeData[1]</t>
  </si>
  <si>
    <t>LP-Rewards</t>
  </si>
  <si>
    <t>LP</t>
  </si>
  <si>
    <t>2-6</t>
  </si>
  <si>
    <t>nofinal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</si>
  <si>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</si>
  <si>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</si>
  <si>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</si>
  <si>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</si>
  <si>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</si>
  <si>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</si>
  <si>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</si>
  <si>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</si>
  <si>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</si>
  <si>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</si>
  <si>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</si>
  <si>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</si>
  <si>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</si>
  <si>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</si>
  <si>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</si>
  <si>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</si>
  <si>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</si>
  <si>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</si>
  <si>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</si>
  <si>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</si>
  <si>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</si>
  <si>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</si>
  <si>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</si>
  <si>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</si>
  <si>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</si>
  <si>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</si>
  <si>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</si>
  <si>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</si>
  <si>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</si>
  <si>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</si>
  <si>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</si>
  <si>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</si>
  <si>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</si>
  <si>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</si>
  <si>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</si>
  <si>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account2 votes 4 times over 3 epochs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</si>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</sst>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0.00000"/>
    <numFmt numFmtId="185" formatCode="###0.0000;[Red]###0.0000"/>
    <numFmt numFmtId="186" formatCode="###0.00000;[Red]###0.00000"/>
    <numFmt numFmtId="187" formatCode="###0.000000;[Red]###0.000000"/>
    <numFmt numFmtId="188" formatCode="[$-409]m/d/yy\ h:mm\ AM/PM;@"/>
    <numFmt numFmtId="189" formatCode="0.00E+00;[Red]0.00E+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sz val="11"/>
      <color rgb="FFCCCCCC"/>
      <name val="Consolas"/>
      <family val="3"/>
    </font>
    <font>
      <sz val="11"/>
      <color rgb="FF00000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0" fontId="13" fillId="0" borderId="0" xfId="0" applyFont="1" applyAlignment="1">
      <alignment vertical="center"/>
    </xf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7" fontId="1" fillId="0" borderId="0" xfId="0" applyNumberFormat="1" applyFont="1" applyAlignment="1">
      <alignment horizontal="right"/>
    </xf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5" fontId="1" fillId="0" borderId="0" xfId="0" applyNumberFormat="1" applyFont="1"/>
    <xf numFmtId="186" fontId="1" fillId="0" borderId="0" xfId="0" applyNumberFormat="1" applyFont="1"/>
    <xf numFmtId="187" fontId="1" fillId="0" borderId="0" xfId="0" applyNumberFormat="1" applyFont="1"/>
    <xf numFmtId="169" fontId="5" fillId="3" borderId="0" xfId="3" applyNumberFormat="1"/>
    <xf numFmtId="184" fontId="5" fillId="3" borderId="0" xfId="3" applyNumberFormat="1"/>
    <xf numFmtId="11" fontId="14" fillId="0" borderId="0" xfId="0" applyNumberFormat="1" applyFont="1" applyAlignment="1">
      <alignment vertical="center"/>
    </xf>
    <xf numFmtId="164" fontId="1" fillId="0" borderId="0" xfId="0" applyNumberFormat="1" applyFont="1"/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7" fontId="0" fillId="7" borderId="0" xfId="0" applyNumberFormat="1" applyFill="1"/>
    <xf numFmtId="166" fontId="1" fillId="7" borderId="0" xfId="0" applyNumberFormat="1" applyFont="1" applyFill="1"/>
    <xf numFmtId="165" fontId="4" fillId="2" borderId="8" xfId="2" applyNumberFormat="1" applyBorder="1"/>
    <xf numFmtId="183" fontId="4" fillId="2" borderId="6" xfId="2" applyNumberFormat="1" applyBorder="1"/>
    <xf numFmtId="167" fontId="4" fillId="2" borderId="5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1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6" fontId="1" fillId="0" borderId="0" xfId="0" quotePrefix="1" applyNumberFormat="1" applyFont="1" applyAlignment="1">
      <alignment horizontal="right"/>
    </xf>
    <xf numFmtId="181" fontId="0" fillId="7" borderId="0" xfId="0" applyNumberFormat="1" applyFill="1"/>
    <xf numFmtId="184" fontId="0" fillId="7" borderId="0" xfId="0" applyNumberFormat="1" applyFill="1"/>
    <xf numFmtId="14" fontId="0" fillId="0" borderId="0" xfId="0" applyNumberFormat="1"/>
    <xf numFmtId="188" fontId="0" fillId="0" borderId="0" xfId="0" applyNumberFormat="1" applyAlignment="1">
      <alignment horizontal="right"/>
    </xf>
    <xf numFmtId="0" fontId="15" fillId="0" borderId="0" xfId="0" applyFont="1"/>
    <xf numFmtId="188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71" fontId="4" fillId="7" borderId="2" xfId="2" applyNumberFormat="1" applyFill="1" applyBorder="1"/>
    <xf numFmtId="171" fontId="4" fillId="7" borderId="4" xfId="2" applyNumberFormat="1" applyFill="1" applyBorder="1"/>
    <xf numFmtId="179" fontId="12" fillId="7" borderId="4" xfId="4" applyNumberFormat="1" applyFill="1" applyBorder="1"/>
    <xf numFmtId="171" fontId="12" fillId="7" borderId="6" xfId="4" applyNumberFormat="1" applyFill="1" applyBorder="1"/>
    <xf numFmtId="171" fontId="1" fillId="7" borderId="0" xfId="0" applyNumberFormat="1" applyFont="1" applyFill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9" fontId="1" fillId="0" borderId="8" xfId="0" applyNumberFormat="1" applyFont="1" applyBorder="1"/>
    <xf numFmtId="182" fontId="1" fillId="0" borderId="13" xfId="0" applyNumberFormat="1" applyFont="1" applyBorder="1"/>
    <xf numFmtId="170" fontId="1" fillId="7" borderId="14" xfId="0" applyNumberFormat="1" applyFont="1" applyFill="1" applyBorder="1"/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6" fontId="4" fillId="2" borderId="11" xfId="2" applyNumberFormat="1" applyBorder="1"/>
    <xf numFmtId="167" fontId="4" fillId="2" borderId="10" xfId="2" applyNumberFormat="1" applyBorder="1"/>
    <xf numFmtId="167" fontId="4" fillId="2" borderId="0" xfId="2" applyNumberFormat="1"/>
    <xf numFmtId="170" fontId="4" fillId="2" borderId="5" xfId="2" applyNumberFormat="1" applyBorder="1"/>
    <xf numFmtId="170" fontId="4" fillId="2" borderId="1" xfId="2" applyNumberFormat="1" applyBorder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66" fontId="5" fillId="3" borderId="9" xfId="3" applyNumberFormat="1" applyBorder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6" fontId="5" fillId="3" borderId="11" xfId="3" applyNumberFormat="1" applyBorder="1"/>
    <xf numFmtId="166" fontId="5" fillId="3" borderId="10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66" fontId="1" fillId="10" borderId="9" xfId="0" applyNumberFormat="1" applyFont="1" applyFill="1" applyBorder="1"/>
    <xf numFmtId="171" fontId="1" fillId="10" borderId="0" xfId="0" applyNumberFormat="1" applyFont="1" applyFill="1"/>
    <xf numFmtId="166" fontId="1" fillId="10" borderId="11" xfId="0" applyNumberFormat="1" applyFont="1" applyFill="1" applyBorder="1"/>
    <xf numFmtId="183" fontId="0" fillId="10" borderId="0" xfId="0" applyNumberFormat="1" applyFill="1"/>
    <xf numFmtId="166" fontId="1" fillId="10" borderId="10" xfId="0" applyNumberFormat="1" applyFont="1" applyFill="1" applyBorder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66" fontId="1" fillId="11" borderId="9" xfId="0" applyNumberFormat="1" applyFont="1" applyFill="1" applyBorder="1"/>
    <xf numFmtId="171" fontId="1" fillId="11" borderId="0" xfId="0" applyNumberFormat="1" applyFont="1" applyFill="1"/>
    <xf numFmtId="166" fontId="1" fillId="11" borderId="11" xfId="0" applyNumberFormat="1" applyFont="1" applyFill="1" applyBorder="1"/>
    <xf numFmtId="166" fontId="1" fillId="11" borderId="10" xfId="0" applyNumberFormat="1" applyFont="1" applyFill="1" applyBorder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66" fontId="1" fillId="12" borderId="9" xfId="0" applyNumberFormat="1" applyFont="1" applyFill="1" applyBorder="1"/>
    <xf numFmtId="171" fontId="1" fillId="12" borderId="0" xfId="0" applyNumberFormat="1" applyFont="1" applyFill="1"/>
    <xf numFmtId="167" fontId="0" fillId="12" borderId="0" xfId="0" applyNumberFormat="1" applyFill="1"/>
    <xf numFmtId="166" fontId="1" fillId="12" borderId="11" xfId="0" applyNumberFormat="1" applyFont="1" applyFill="1" applyBorder="1"/>
    <xf numFmtId="166" fontId="1" fillId="12" borderId="10" xfId="0" applyNumberFormat="1" applyFont="1" applyFill="1" applyBorder="1"/>
    <xf numFmtId="165" fontId="0" fillId="12" borderId="0" xfId="0" applyNumberFormat="1" applyFill="1"/>
    <xf numFmtId="167" fontId="1" fillId="10" borderId="11" xfId="0" applyNumberFormat="1" applyFont="1" applyFill="1" applyBorder="1"/>
    <xf numFmtId="189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48"/>
  <sheetViews>
    <sheetView topLeftCell="D13" zoomScale="75" zoomScaleNormal="75" workbookViewId="0">
      <selection activeCell="L46" sqref="L4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4" x14ac:dyDescent="0.25">
      <c r="C1" s="1" t="s">
        <v>50</v>
      </c>
      <c r="J1" s="30"/>
      <c r="K1" s="31"/>
      <c r="M1" s="30"/>
      <c r="N1" s="31"/>
    </row>
    <row r="2" spans="2:24" x14ac:dyDescent="0.25">
      <c r="J2" s="32" t="s">
        <v>0</v>
      </c>
      <c r="K2" s="33"/>
      <c r="L2" s="2"/>
      <c r="M2" s="32" t="s">
        <v>104</v>
      </c>
      <c r="N2" s="33"/>
      <c r="O2" s="2" t="s">
        <v>112</v>
      </c>
      <c r="P2" s="2"/>
      <c r="Q2" s="2" t="s">
        <v>111</v>
      </c>
      <c r="R2" s="2"/>
      <c r="U2" s="2" t="s">
        <v>39</v>
      </c>
    </row>
    <row r="3" spans="2:24" x14ac:dyDescent="0.25">
      <c r="D3" s="2" t="s">
        <v>202</v>
      </c>
      <c r="E3" s="2"/>
      <c r="F3" s="2" t="s">
        <v>201</v>
      </c>
      <c r="G3" s="2" t="s">
        <v>106</v>
      </c>
      <c r="H3" s="2" t="s">
        <v>107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/>
      <c r="S3" s="2" t="s">
        <v>36</v>
      </c>
      <c r="T3" s="2" t="s">
        <v>37</v>
      </c>
      <c r="U3" s="2" t="s">
        <v>38</v>
      </c>
      <c r="V3" s="2" t="s">
        <v>103</v>
      </c>
      <c r="W3" s="2" t="s">
        <v>102</v>
      </c>
      <c r="X3" s="2"/>
    </row>
    <row r="4" spans="2:24" x14ac:dyDescent="0.25"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</row>
    <row r="5" spans="2:24" x14ac:dyDescent="0.25">
      <c r="B5">
        <v>1</v>
      </c>
      <c r="C5" t="s">
        <v>17</v>
      </c>
      <c r="D5" s="72">
        <v>500</v>
      </c>
      <c r="E5" s="5">
        <v>1621266400</v>
      </c>
      <c r="F5">
        <f t="shared" ref="F5:F35" si="0">INT(INT(1000000/(MOD(D5,10000)+50))*IF(D5&gt;10000,0.9,0.95))</f>
        <v>1727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905</v>
      </c>
      <c r="M5" s="34">
        <f t="shared" ref="M5:M6" ca="1" si="1">INT($L5*J5/1000)</f>
        <v>0</v>
      </c>
      <c r="N5" s="35">
        <f ca="1">INT($L5*K5/1000)</f>
        <v>1810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1810</v>
      </c>
      <c r="S5" s="1">
        <f ca="1">Q5-P5</f>
        <v>-1001</v>
      </c>
      <c r="T5" s="1">
        <f ca="1">R5-O5</f>
        <v>810</v>
      </c>
      <c r="U5" s="1">
        <f t="shared" ref="U5:U6" ca="1" si="2">MAX(0,S5:T5)</f>
        <v>810</v>
      </c>
      <c r="V5" s="1">
        <f ca="1">V4+(U5-U4)</f>
        <v>810</v>
      </c>
      <c r="W5" s="1">
        <f>SUM(J5:K5)+W4</f>
        <v>3000</v>
      </c>
    </row>
    <row r="6" spans="2:24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1727</v>
      </c>
      <c r="G6">
        <v>2</v>
      </c>
      <c r="H6">
        <v>1</v>
      </c>
      <c r="I6">
        <v>0</v>
      </c>
      <c r="J6" s="34">
        <v>1000</v>
      </c>
      <c r="K6" s="35">
        <v>0</v>
      </c>
      <c r="L6">
        <f ca="1">MOD(OFFSET(IF(J6&gt;0,D$4,F$4),I6,0),10000)</f>
        <v>999</v>
      </c>
      <c r="M6" s="34">
        <f t="shared" ca="1" si="1"/>
        <v>999</v>
      </c>
      <c r="N6" s="35">
        <f t="shared" ref="N6" ca="1" si="3">INT($L6*K6/1000)</f>
        <v>0</v>
      </c>
      <c r="O6">
        <f>J6+O5</f>
        <v>2000</v>
      </c>
      <c r="P6" s="23">
        <f>K6+P5</f>
        <v>2000</v>
      </c>
      <c r="Q6">
        <f ca="1">INT(J6*L6/1000)+Q5</f>
        <v>1998</v>
      </c>
      <c r="R6">
        <f ca="1">INT(K6*L6/1000)+R5</f>
        <v>1810</v>
      </c>
      <c r="S6" s="1">
        <f ca="1">Q6-P6</f>
        <v>-2</v>
      </c>
      <c r="T6" s="1">
        <f ca="1">R6-O6</f>
        <v>-190</v>
      </c>
      <c r="U6" s="1">
        <f t="shared" ca="1" si="2"/>
        <v>0</v>
      </c>
      <c r="V6" s="1">
        <f ca="1">V5+(U6-U5)</f>
        <v>0</v>
      </c>
      <c r="W6" s="1">
        <f>SUM(J6:K6)+W5</f>
        <v>4000</v>
      </c>
    </row>
    <row r="7" spans="2:24" x14ac:dyDescent="0.25">
      <c r="B7">
        <v>3</v>
      </c>
      <c r="C7" t="s">
        <v>4</v>
      </c>
      <c r="D7" s="72">
        <v>919</v>
      </c>
      <c r="E7" s="5">
        <v>1621266400</v>
      </c>
      <c r="F7">
        <f t="shared" si="0"/>
        <v>979</v>
      </c>
      <c r="J7" s="34"/>
      <c r="K7" s="35"/>
      <c r="M7" s="34"/>
      <c r="N7" s="35"/>
      <c r="S7" s="1"/>
      <c r="T7" s="1"/>
      <c r="U7" s="1"/>
      <c r="V7" s="1"/>
      <c r="W7" s="1"/>
    </row>
    <row r="8" spans="2:24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989</v>
      </c>
      <c r="J8" s="34"/>
      <c r="K8" s="35"/>
      <c r="M8" s="34"/>
      <c r="N8" s="35"/>
      <c r="S8" s="1"/>
      <c r="T8" s="1"/>
      <c r="U8" s="1"/>
      <c r="V8" s="1"/>
      <c r="W8" s="1"/>
    </row>
    <row r="9" spans="2:24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1117</v>
      </c>
      <c r="J9" s="34"/>
      <c r="K9" s="35"/>
      <c r="M9" s="34"/>
      <c r="N9" s="35"/>
      <c r="S9" s="1"/>
      <c r="T9" s="1"/>
      <c r="U9" s="1"/>
      <c r="V9" s="1"/>
      <c r="W9" s="1"/>
    </row>
    <row r="10" spans="2:24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1695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103</v>
      </c>
      <c r="W10" s="2" t="s">
        <v>102</v>
      </c>
      <c r="X10" s="2"/>
    </row>
    <row r="11" spans="2:24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1203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500</v>
      </c>
      <c r="W11" s="1">
        <f>SUM(J11:K11)+W6</f>
        <v>5000</v>
      </c>
    </row>
    <row r="12" spans="2:24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1417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1727</v>
      </c>
      <c r="M12" s="34">
        <f t="shared" ref="M12:M13" ca="1" si="4">INT($L12*J12/1000)</f>
        <v>0</v>
      </c>
      <c r="N12" s="35">
        <f t="shared" ref="N12:N13" ca="1" si="5">INT($L12*K12/1000)</f>
        <v>3454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3454</v>
      </c>
      <c r="S12" s="1">
        <f ca="1">Q12-P12</f>
        <v>-1500</v>
      </c>
      <c r="T12" s="1">
        <f ca="1">R12-O12</f>
        <v>2454</v>
      </c>
      <c r="U12" s="1">
        <f t="shared" ref="U12:U13" ca="1" si="6">MAX(0,S12:T12)</f>
        <v>2454</v>
      </c>
      <c r="V12" s="1">
        <f ca="1">V11+(U12-U11)</f>
        <v>2454</v>
      </c>
      <c r="W12" s="1">
        <f>SUM(J12:K12)+W11</f>
        <v>7000</v>
      </c>
    </row>
    <row r="13" spans="2:24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940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3454</v>
      </c>
      <c r="S13" s="1">
        <f ca="1">Q13-P13</f>
        <v>-1000</v>
      </c>
      <c r="T13" s="1">
        <f ca="1">R13-O13</f>
        <v>1454</v>
      </c>
      <c r="U13" s="1">
        <f t="shared" ca="1" si="6"/>
        <v>1454</v>
      </c>
      <c r="V13" s="1">
        <f ca="1">V12+(U13-U12)</f>
        <v>1454</v>
      </c>
      <c r="W13" s="1">
        <f>SUM(J13:K13)+W12</f>
        <v>8000</v>
      </c>
    </row>
    <row r="14" spans="2:24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1356</v>
      </c>
      <c r="J14" s="34"/>
      <c r="K14" s="35"/>
      <c r="L14">
        <f>F5/1000*K12</f>
        <v>3454</v>
      </c>
      <c r="M14" s="34"/>
      <c r="N14" s="35"/>
      <c r="S14" s="1"/>
      <c r="T14" s="1"/>
      <c r="U14" s="1"/>
      <c r="V14" s="1"/>
      <c r="W14" s="1"/>
    </row>
    <row r="15" spans="2:24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1287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</row>
    <row r="16" spans="2:24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931</v>
      </c>
      <c r="J16" s="34"/>
      <c r="K16" s="35"/>
      <c r="M16" s="34"/>
      <c r="N16" s="35"/>
      <c r="S16" s="1"/>
      <c r="T16" s="1"/>
      <c r="U16" s="1"/>
      <c r="V16" s="1"/>
      <c r="W16" s="1"/>
    </row>
    <row r="17" spans="2:24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1217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103</v>
      </c>
      <c r="W17" s="2" t="s">
        <v>102</v>
      </c>
      <c r="X17" s="2"/>
    </row>
    <row r="18" spans="2:24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1268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1954</v>
      </c>
      <c r="W18" s="1">
        <f>SUM(J18:K18)+W13</f>
        <v>9000</v>
      </c>
    </row>
    <row r="19" spans="2:24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1016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1727</v>
      </c>
      <c r="M19" s="34">
        <f t="shared" ref="M19:M20" ca="1" si="7">INT($L19*J19/1000)</f>
        <v>0</v>
      </c>
      <c r="N19" s="35">
        <f t="shared" ref="N19:N20" ca="1" si="8">INT($L19*K19/1000)</f>
        <v>3454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3454</v>
      </c>
      <c r="S19" s="1">
        <f ca="1">Q19-P19</f>
        <v>-1500</v>
      </c>
      <c r="T19" s="1">
        <f ca="1">R19-O19</f>
        <v>2454</v>
      </c>
      <c r="U19" s="1">
        <f t="shared" ref="U19" ca="1" si="9">MAX(0,S19:T19)</f>
        <v>2454</v>
      </c>
      <c r="V19" s="1">
        <f ca="1">V18+(U19-U18)</f>
        <v>3908</v>
      </c>
      <c r="W19" s="1">
        <f>SUM(J19:K19)+W18</f>
        <v>11000</v>
      </c>
    </row>
    <row r="20" spans="2:24" x14ac:dyDescent="0.25">
      <c r="B20">
        <v>16</v>
      </c>
      <c r="C20" t="s">
        <v>17</v>
      </c>
      <c r="D20">
        <v>10520</v>
      </c>
      <c r="E20" s="5">
        <v>1621266400</v>
      </c>
      <c r="F20">
        <f t="shared" si="0"/>
        <v>1578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3454</v>
      </c>
      <c r="S20" s="1">
        <f ca="1">Q20-P20</f>
        <v>-1000</v>
      </c>
      <c r="T20" s="1">
        <f ca="1">R20-O20</f>
        <v>1454</v>
      </c>
      <c r="U20" s="1">
        <f ca="1">MAX(0,S20:T20)</f>
        <v>1454</v>
      </c>
      <c r="V20" s="1">
        <f ca="1">V19+(U20-U19)</f>
        <v>2908</v>
      </c>
      <c r="W20" s="1">
        <f>SUM(J20:K20)+W19</f>
        <v>12000</v>
      </c>
    </row>
    <row r="21" spans="2:24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998</v>
      </c>
      <c r="J21" s="34"/>
      <c r="K21" s="35"/>
      <c r="M21" s="34"/>
      <c r="N21" s="35"/>
      <c r="S21" s="1"/>
      <c r="T21" s="1"/>
      <c r="U21" s="1"/>
      <c r="V21" s="1"/>
      <c r="W21" s="1"/>
    </row>
    <row r="22" spans="2:24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1417</v>
      </c>
      <c r="J22" s="34"/>
      <c r="K22" s="35"/>
      <c r="M22" s="34"/>
      <c r="N22" s="35"/>
      <c r="R22" s="20"/>
      <c r="S22" s="1"/>
      <c r="T22" s="1"/>
      <c r="U22" s="1"/>
      <c r="V22" s="1"/>
      <c r="W22" s="1"/>
    </row>
    <row r="23" spans="2:24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1166</v>
      </c>
      <c r="J23" s="34"/>
      <c r="K23" s="35"/>
      <c r="M23" s="34"/>
      <c r="N23" s="35"/>
      <c r="S23" s="1"/>
      <c r="T23" s="1"/>
      <c r="U23" s="2"/>
      <c r="V23" s="1"/>
      <c r="W23" s="1"/>
    </row>
    <row r="24" spans="2:24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1053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103</v>
      </c>
      <c r="W24" s="2" t="s">
        <v>102</v>
      </c>
      <c r="X24" s="2"/>
    </row>
    <row r="25" spans="2:24" x14ac:dyDescent="0.25">
      <c r="B25">
        <v>21</v>
      </c>
      <c r="C25" t="s">
        <v>204</v>
      </c>
      <c r="D25">
        <v>820</v>
      </c>
      <c r="E25" s="5">
        <v>1621266400</v>
      </c>
      <c r="F25">
        <f t="shared" si="0"/>
        <v>1091</v>
      </c>
      <c r="G25">
        <v>2</v>
      </c>
      <c r="H25" t="s">
        <v>200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3827</v>
      </c>
      <c r="W25" s="1">
        <f>SUM(J25:K25)+W20</f>
        <v>13000</v>
      </c>
    </row>
    <row r="26" spans="2:24" x14ac:dyDescent="0.25">
      <c r="B26">
        <v>22</v>
      </c>
      <c r="C26" t="s">
        <v>205</v>
      </c>
      <c r="D26">
        <v>770</v>
      </c>
      <c r="E26" s="5">
        <v>1621266400</v>
      </c>
      <c r="F26">
        <f t="shared" si="0"/>
        <v>1158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4746</v>
      </c>
      <c r="W26" s="1">
        <f>SUM(J26:K26)+W25</f>
        <v>14000</v>
      </c>
    </row>
    <row r="27" spans="2:24" ht="15.75" thickBot="1" x14ac:dyDescent="0.3">
      <c r="B27">
        <v>23</v>
      </c>
      <c r="C27" t="s">
        <v>206</v>
      </c>
      <c r="D27">
        <v>790</v>
      </c>
      <c r="E27" s="5">
        <v>1621266400</v>
      </c>
      <c r="F27">
        <f t="shared" si="0"/>
        <v>1130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979</v>
      </c>
      <c r="M27" s="38">
        <f t="shared" ca="1" si="10"/>
        <v>0</v>
      </c>
      <c r="N27" s="40">
        <f t="shared" ca="1" si="11"/>
        <v>979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979</v>
      </c>
      <c r="S27" s="1">
        <f ca="1">Q27-P27</f>
        <v>838</v>
      </c>
      <c r="T27" s="1">
        <f ca="1">R27-O27</f>
        <v>-1021</v>
      </c>
      <c r="U27" s="1">
        <f ca="1">MAX(0,S27:T27)</f>
        <v>838</v>
      </c>
      <c r="V27" s="1">
        <f ca="1">V26+(U27-U26)</f>
        <v>3746</v>
      </c>
      <c r="W27" s="1">
        <f>SUM(J27:K27)+W26</f>
        <v>15000</v>
      </c>
    </row>
    <row r="28" spans="2:24" x14ac:dyDescent="0.25">
      <c r="B28">
        <v>24</v>
      </c>
      <c r="C28" t="s">
        <v>207</v>
      </c>
      <c r="D28">
        <v>730</v>
      </c>
      <c r="E28" s="5">
        <v>1621266400</v>
      </c>
      <c r="F28">
        <f t="shared" si="0"/>
        <v>1217</v>
      </c>
      <c r="S28" s="1"/>
      <c r="T28" s="1"/>
      <c r="U28" s="1"/>
      <c r="V28" s="1"/>
      <c r="W28" s="1"/>
    </row>
    <row r="29" spans="2:24" x14ac:dyDescent="0.25">
      <c r="B29">
        <v>25</v>
      </c>
      <c r="C29" t="s">
        <v>208</v>
      </c>
      <c r="D29">
        <v>690</v>
      </c>
      <c r="E29" s="5">
        <v>1621266400</v>
      </c>
      <c r="F29">
        <f t="shared" si="0"/>
        <v>1283</v>
      </c>
      <c r="T29" t="s">
        <v>70</v>
      </c>
      <c r="V29" s="6"/>
      <c r="W29" s="1"/>
    </row>
    <row r="30" spans="2:24" x14ac:dyDescent="0.25">
      <c r="B30">
        <v>26</v>
      </c>
      <c r="C30" t="s">
        <v>209</v>
      </c>
      <c r="D30">
        <v>970</v>
      </c>
      <c r="E30" s="5">
        <v>1621266400</v>
      </c>
      <c r="F30">
        <f t="shared" si="0"/>
        <v>931</v>
      </c>
      <c r="H30" s="63"/>
      <c r="J30" s="4"/>
      <c r="P30" t="s">
        <v>121</v>
      </c>
      <c r="Q30" s="4">
        <v>30000</v>
      </c>
      <c r="T30" s="2" t="s">
        <v>33</v>
      </c>
      <c r="U30" s="2" t="s">
        <v>71</v>
      </c>
      <c r="V30" s="6"/>
      <c r="W30" s="6"/>
    </row>
    <row r="31" spans="2:24" x14ac:dyDescent="0.25">
      <c r="B31">
        <v>27</v>
      </c>
      <c r="C31" t="s">
        <v>214</v>
      </c>
      <c r="D31">
        <v>760</v>
      </c>
      <c r="E31" s="5">
        <v>1621266400</v>
      </c>
      <c r="F31">
        <f t="shared" si="0"/>
        <v>1172</v>
      </c>
      <c r="J31" s="3"/>
      <c r="K31" s="2"/>
      <c r="L31" s="2"/>
      <c r="M31" s="2"/>
      <c r="N31" s="2"/>
      <c r="O31" s="2"/>
      <c r="P31" t="s">
        <v>119</v>
      </c>
      <c r="Q31" s="44">
        <v>10000</v>
      </c>
      <c r="R31" s="7"/>
      <c r="S31" s="7"/>
      <c r="T31" s="2">
        <v>0</v>
      </c>
      <c r="U31">
        <v>1</v>
      </c>
      <c r="X31" s="2"/>
    </row>
    <row r="32" spans="2:24" x14ac:dyDescent="0.25">
      <c r="B32">
        <v>28</v>
      </c>
      <c r="C32" t="s">
        <v>210</v>
      </c>
      <c r="D32">
        <v>919</v>
      </c>
      <c r="E32" s="5">
        <v>1621266400</v>
      </c>
      <c r="F32">
        <f t="shared" si="0"/>
        <v>979</v>
      </c>
      <c r="L32" s="1"/>
      <c r="M32" s="1"/>
      <c r="N32" s="1"/>
      <c r="O32" s="1"/>
      <c r="P32" t="s">
        <v>120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211</v>
      </c>
      <c r="D33">
        <v>720</v>
      </c>
      <c r="E33" s="5">
        <v>1621266400</v>
      </c>
      <c r="F33">
        <f t="shared" si="0"/>
        <v>1233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212</v>
      </c>
      <c r="D34">
        <v>672</v>
      </c>
      <c r="E34" s="5">
        <v>1621266400</v>
      </c>
      <c r="F34">
        <f t="shared" si="0"/>
        <v>1315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213</v>
      </c>
      <c r="D35">
        <v>500</v>
      </c>
      <c r="E35" s="5">
        <v>1621266400</v>
      </c>
      <c r="F35">
        <f t="shared" si="0"/>
        <v>1727</v>
      </c>
      <c r="L35" s="1"/>
      <c r="M35" s="1"/>
      <c r="N35" s="1"/>
      <c r="O35" s="1"/>
      <c r="Q35" s="4" t="s">
        <v>110</v>
      </c>
      <c r="R35" s="2" t="s">
        <v>46</v>
      </c>
      <c r="S35" s="2" t="s">
        <v>154</v>
      </c>
    </row>
    <row r="36" spans="2:22" x14ac:dyDescent="0.25">
      <c r="L36" s="1"/>
      <c r="M36" s="1"/>
      <c r="N36" s="1"/>
      <c r="O36" s="1" t="s">
        <v>167</v>
      </c>
      <c r="P36" s="1" t="s">
        <v>105</v>
      </c>
      <c r="Q36" s="64">
        <v>30000</v>
      </c>
      <c r="R36">
        <v>30000</v>
      </c>
      <c r="S36" s="125">
        <f ca="1">(R36+R38-L38)/10000</f>
        <v>2.9735999999999998</v>
      </c>
      <c r="U36" s="25"/>
    </row>
    <row r="37" spans="2:22" ht="15.75" thickBot="1" x14ac:dyDescent="0.3">
      <c r="C37" s="62"/>
      <c r="M37" s="1"/>
      <c r="N37" s="1"/>
      <c r="O37" s="1" t="s">
        <v>168</v>
      </c>
      <c r="P37" s="1" t="s">
        <v>103</v>
      </c>
      <c r="Q37" s="65">
        <f ca="1">U27+U20+U13</f>
        <v>3746</v>
      </c>
      <c r="R37">
        <f ca="1">V27</f>
        <v>3746</v>
      </c>
      <c r="S37" s="125">
        <v>0</v>
      </c>
      <c r="U37" s="25"/>
    </row>
    <row r="38" spans="2:22" x14ac:dyDescent="0.25">
      <c r="J38" s="30"/>
      <c r="K38" s="68" t="s">
        <v>152</v>
      </c>
      <c r="L38" s="53">
        <f ca="1">$P$6+$R$6+$P$13+$R$13+$O$20+$Q$20+$O$27+$P$27</f>
        <v>15264</v>
      </c>
      <c r="M38" s="4"/>
      <c r="N38" s="1"/>
      <c r="O38" s="1" t="s">
        <v>169</v>
      </c>
      <c r="P38" s="1" t="s">
        <v>102</v>
      </c>
      <c r="Q38" s="66">
        <f>SUM(J4:K27)</f>
        <v>15000</v>
      </c>
      <c r="R38">
        <f>SUM(J4:K28)</f>
        <v>15000</v>
      </c>
      <c r="S38" s="125">
        <v>0</v>
      </c>
      <c r="U38" s="25"/>
    </row>
    <row r="39" spans="2:22" x14ac:dyDescent="0.25">
      <c r="C39" s="2"/>
      <c r="D39" s="2"/>
      <c r="E39" s="128"/>
      <c r="J39" s="34"/>
      <c r="K39" s="12" t="s">
        <v>151</v>
      </c>
      <c r="L39" s="54">
        <f ca="1">+$R$6+$R$13+$Q$20</f>
        <v>6264</v>
      </c>
      <c r="M39" s="1"/>
      <c r="N39" s="1"/>
      <c r="O39" s="1"/>
      <c r="P39" s="1" t="s">
        <v>203</v>
      </c>
      <c r="Q39" s="66">
        <v>0</v>
      </c>
      <c r="R39">
        <v>0</v>
      </c>
      <c r="S39" s="126">
        <f ca="1">(R6+R13+Q20)*0.05/10000</f>
        <v>3.1320000000000008E-2</v>
      </c>
      <c r="U39" s="25"/>
    </row>
    <row r="40" spans="2:22" ht="15.75" thickBot="1" x14ac:dyDescent="0.3">
      <c r="B40" s="1"/>
      <c r="C40" s="1"/>
      <c r="D40" s="2"/>
      <c r="E40" s="127"/>
      <c r="J40" s="38"/>
      <c r="K40" s="69" t="s">
        <v>41</v>
      </c>
      <c r="L40" s="70">
        <f ca="1">0.05*L39</f>
        <v>313.20000000000005</v>
      </c>
      <c r="M40" s="1"/>
      <c r="N40" s="1"/>
      <c r="O40" s="1"/>
      <c r="P40" s="1" t="s">
        <v>113</v>
      </c>
      <c r="Q40" s="67"/>
      <c r="R40">
        <v>50000</v>
      </c>
      <c r="S40" s="125">
        <f ca="1">R40/10000-L40/10000</f>
        <v>4.96868</v>
      </c>
      <c r="U40" s="98"/>
      <c r="V40" s="98"/>
    </row>
    <row r="41" spans="2:22" x14ac:dyDescent="0.25">
      <c r="B41" s="1"/>
      <c r="C41" s="1"/>
      <c r="D41" s="10"/>
      <c r="E41" s="127"/>
      <c r="N41" s="1"/>
      <c r="O41" s="4"/>
      <c r="P41" s="1" t="s">
        <v>115</v>
      </c>
      <c r="R41">
        <v>10000</v>
      </c>
      <c r="S41" s="125">
        <f ca="1">(0.95*(M18+M20)-J6-J4-J11-J13+Q31)/10000</f>
        <v>0.69499999999999995</v>
      </c>
      <c r="T41" s="99"/>
    </row>
    <row r="42" spans="2:22" ht="16.5" x14ac:dyDescent="0.3">
      <c r="B42" s="1"/>
      <c r="D42" s="129"/>
      <c r="E42" s="130"/>
      <c r="L42" s="74"/>
      <c r="N42" s="1"/>
      <c r="O42" s="4"/>
      <c r="P42" s="1" t="s">
        <v>153</v>
      </c>
      <c r="R42">
        <v>10000</v>
      </c>
      <c r="S42" s="125">
        <f ca="1">(Q32+(N5+N12)*0.95-K19)/10000</f>
        <v>1.3000799999999999</v>
      </c>
      <c r="V42" s="25"/>
    </row>
    <row r="43" spans="2:22" x14ac:dyDescent="0.25">
      <c r="B43" s="1"/>
      <c r="C43" s="1">
        <v>1690588800</v>
      </c>
      <c r="E43" s="130"/>
      <c r="N43" s="1"/>
      <c r="S43" s="15"/>
      <c r="T43" s="25"/>
    </row>
    <row r="44" spans="2:22" x14ac:dyDescent="0.25">
      <c r="B44" s="1"/>
      <c r="C44" s="1"/>
      <c r="E44" s="130"/>
      <c r="T44" s="25"/>
    </row>
    <row r="45" spans="2:22" x14ac:dyDescent="0.25">
      <c r="B45" s="1"/>
      <c r="C45" s="1"/>
      <c r="D45" s="4"/>
      <c r="E45" s="130"/>
      <c r="Q45" s="25"/>
      <c r="R45" s="25"/>
      <c r="S45" s="47"/>
      <c r="U45" s="25"/>
    </row>
    <row r="46" spans="2:22" x14ac:dyDescent="0.25">
      <c r="B46" s="1"/>
      <c r="C46" s="1"/>
      <c r="S46" s="4"/>
      <c r="T46" s="25"/>
    </row>
    <row r="47" spans="2:22" x14ac:dyDescent="0.25">
      <c r="B47" s="1"/>
      <c r="C47" s="1"/>
      <c r="S47" s="25"/>
      <c r="T47" s="73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E1" zoomScale="75" zoomScaleNormal="75" workbookViewId="0">
      <selection activeCell="L33" sqref="L33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104</v>
      </c>
      <c r="P2" s="33"/>
      <c r="Q2" s="2" t="s">
        <v>112</v>
      </c>
      <c r="R2" s="2"/>
      <c r="S2" s="2" t="s">
        <v>111</v>
      </c>
      <c r="T2" s="2"/>
      <c r="W2" s="2" t="s">
        <v>39</v>
      </c>
      <c r="Z2" s="368" t="s">
        <v>108</v>
      </c>
      <c r="AA2" s="368"/>
      <c r="AB2" s="368" t="s">
        <v>109</v>
      </c>
      <c r="AC2" s="368"/>
    </row>
    <row r="3" spans="1:32" x14ac:dyDescent="0.25">
      <c r="G3" s="32" t="s">
        <v>34</v>
      </c>
      <c r="H3" s="33" t="s">
        <v>35</v>
      </c>
      <c r="I3" s="2" t="s">
        <v>106</v>
      </c>
      <c r="J3" s="2" t="s">
        <v>107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103</v>
      </c>
      <c r="Y3" s="2" t="s">
        <v>102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INT(INT(1000000/(MOD(D5,10000)+50))*IF(D5&gt;10000,0.9,0.95))</f>
        <v>1727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905</v>
      </c>
      <c r="O5" s="34">
        <f t="shared" ref="O5:P6" ca="1" si="2">INT($N5*L5/1000)</f>
        <v>0</v>
      </c>
      <c r="P5" s="35">
        <f ca="1">INT($N5*M5/1000)</f>
        <v>1810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1810</v>
      </c>
      <c r="U5" s="1">
        <f ca="1">S5-R5</f>
        <v>-1001</v>
      </c>
      <c r="V5" s="1">
        <f ca="1">T5-Q5</f>
        <v>810</v>
      </c>
      <c r="W5" s="1">
        <f t="shared" ref="W5:W6" ca="1" si="3">MAX(0,U5:V5)</f>
        <v>810</v>
      </c>
      <c r="X5" s="1">
        <f ca="1">X4+(W5-W4)</f>
        <v>810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3810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1727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1810</v>
      </c>
      <c r="U6" s="1">
        <f ca="1">S6-R6</f>
        <v>-2</v>
      </c>
      <c r="V6" s="1">
        <f ca="1">T6-Q6</f>
        <v>-190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979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989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1117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1695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103</v>
      </c>
      <c r="Y10" s="2" t="s">
        <v>102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1203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5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1417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1727</v>
      </c>
      <c r="O12" s="34">
        <f t="shared" ref="O12:P13" ca="1" si="4">INT($N12*L12/1000)</f>
        <v>0</v>
      </c>
      <c r="P12" s="35">
        <f t="shared" ca="1" si="4"/>
        <v>3454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3454</v>
      </c>
      <c r="U12" s="1">
        <f ca="1">S12-R12</f>
        <v>-1500</v>
      </c>
      <c r="V12" s="1">
        <f ca="1">T12-Q12</f>
        <v>2454</v>
      </c>
      <c r="W12" s="1">
        <f t="shared" ref="W12:W13" ca="1" si="5">MAX(0,U12:V12)</f>
        <v>2454</v>
      </c>
      <c r="X12" s="1">
        <f ca="1">X11+(W12-W11)</f>
        <v>2454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5454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940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3454</v>
      </c>
      <c r="U13" s="1">
        <f ca="1">S13-R13</f>
        <v>-1000</v>
      </c>
      <c r="V13" s="1">
        <f ca="1">T13-Q13</f>
        <v>1454</v>
      </c>
      <c r="W13" s="1">
        <f t="shared" ca="1" si="5"/>
        <v>1454</v>
      </c>
      <c r="X13" s="1">
        <f ca="1">X12+(W13-W12)</f>
        <v>1454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1356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1287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931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1217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103</v>
      </c>
      <c r="Y17" s="2" t="s">
        <v>102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1268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1954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1016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1727</v>
      </c>
      <c r="O19" s="34">
        <f t="shared" ref="O19:P20" ca="1" si="6">INT($N19*L19/1000)</f>
        <v>0</v>
      </c>
      <c r="P19" s="35">
        <f t="shared" ca="1" si="6"/>
        <v>3454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3454</v>
      </c>
      <c r="U19" s="1">
        <f ca="1">S19-R19</f>
        <v>-1500</v>
      </c>
      <c r="V19" s="1">
        <f ca="1">T19-Q19</f>
        <v>2454</v>
      </c>
      <c r="W19" s="1">
        <f t="shared" ref="W19" ca="1" si="7">MAX(0,U19:V19)</f>
        <v>2454</v>
      </c>
      <c r="X19" s="1">
        <f ca="1">X18+(W19-W18)</f>
        <v>3908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8680</v>
      </c>
      <c r="B20">
        <v>16</v>
      </c>
      <c r="C20" t="s">
        <v>17</v>
      </c>
      <c r="D20">
        <v>10520</v>
      </c>
      <c r="E20" s="5">
        <v>1621266400</v>
      </c>
      <c r="F20">
        <f t="shared" si="1"/>
        <v>1578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3454</v>
      </c>
      <c r="U20" s="1">
        <f ca="1">S20-R20</f>
        <v>-1000</v>
      </c>
      <c r="V20" s="1">
        <f ca="1">T20-Q20</f>
        <v>1454</v>
      </c>
      <c r="W20" s="1">
        <f ca="1">MAX(0,U20:V20)</f>
        <v>1454</v>
      </c>
      <c r="X20" s="1">
        <f ca="1">X19+(W20-W19)</f>
        <v>2908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998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1454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1417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1166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1053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103</v>
      </c>
      <c r="Y24" s="2" t="s">
        <v>102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204</v>
      </c>
      <c r="D25">
        <v>820</v>
      </c>
      <c r="E25" s="5">
        <v>1621266400</v>
      </c>
      <c r="F25">
        <f t="shared" si="1"/>
        <v>1091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3827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205</v>
      </c>
      <c r="D26">
        <v>770</v>
      </c>
      <c r="E26" s="5">
        <v>1621266400</v>
      </c>
      <c r="F26">
        <f t="shared" si="1"/>
        <v>1158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4746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206</v>
      </c>
      <c r="D27">
        <v>790</v>
      </c>
      <c r="E27" s="5">
        <v>1621266400</v>
      </c>
      <c r="F27">
        <f t="shared" si="1"/>
        <v>1130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979</v>
      </c>
      <c r="O27" s="38">
        <f t="shared" ca="1" si="9"/>
        <v>0</v>
      </c>
      <c r="P27" s="40">
        <f t="shared" ca="1" si="9"/>
        <v>979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979</v>
      </c>
      <c r="U27" s="1">
        <f ca="1">S27-R27</f>
        <v>838</v>
      </c>
      <c r="V27" s="1">
        <f ca="1">T27-Q27</f>
        <v>-1021</v>
      </c>
      <c r="W27" s="1">
        <f ca="1">MAX(0,U27:V27)</f>
        <v>838</v>
      </c>
      <c r="X27" s="1">
        <f ca="1">X26+(W27-W26)</f>
        <v>3746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207</v>
      </c>
      <c r="D28">
        <v>730</v>
      </c>
      <c r="E28" s="5">
        <v>1621266400</v>
      </c>
      <c r="F28">
        <f t="shared" si="1"/>
        <v>1217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208</v>
      </c>
      <c r="D29">
        <v>690</v>
      </c>
      <c r="E29" s="5">
        <v>1621266400</v>
      </c>
      <c r="F29">
        <f t="shared" si="1"/>
        <v>1283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10264</v>
      </c>
    </row>
    <row r="30" spans="1:32" x14ac:dyDescent="0.25">
      <c r="A30">
        <f t="shared" si="0"/>
        <v>50761</v>
      </c>
      <c r="B30">
        <v>26</v>
      </c>
      <c r="C30" t="s">
        <v>209</v>
      </c>
      <c r="D30">
        <v>970</v>
      </c>
      <c r="E30" s="5">
        <v>1621266400</v>
      </c>
      <c r="F30">
        <f t="shared" si="1"/>
        <v>931</v>
      </c>
      <c r="L30" s="4"/>
      <c r="R30" t="s">
        <v>121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214</v>
      </c>
      <c r="D31">
        <v>760</v>
      </c>
      <c r="E31" s="5">
        <v>1621266400</v>
      </c>
      <c r="F31">
        <f t="shared" si="1"/>
        <v>1172</v>
      </c>
      <c r="L31" s="4"/>
      <c r="M31" s="2"/>
      <c r="N31" s="2"/>
      <c r="O31" s="2"/>
      <c r="P31" s="2"/>
      <c r="Q31" s="2"/>
      <c r="R31" t="s">
        <v>119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15264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210</v>
      </c>
      <c r="D32">
        <v>919</v>
      </c>
      <c r="E32" s="5">
        <v>1621266400</v>
      </c>
      <c r="F32">
        <f t="shared" si="1"/>
        <v>979</v>
      </c>
      <c r="N32" s="1"/>
      <c r="O32" s="1"/>
      <c r="P32" s="1"/>
      <c r="Q32" s="1"/>
      <c r="R32" t="s">
        <v>120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211</v>
      </c>
      <c r="D33">
        <v>720</v>
      </c>
      <c r="E33" s="5">
        <v>1621266400</v>
      </c>
      <c r="F33">
        <f t="shared" si="1"/>
        <v>1233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212</v>
      </c>
      <c r="D34">
        <v>672</v>
      </c>
      <c r="E34" s="5">
        <v>1621266400</v>
      </c>
      <c r="F34">
        <f t="shared" si="1"/>
        <v>1315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213</v>
      </c>
      <c r="D35">
        <v>800</v>
      </c>
      <c r="E35" s="5">
        <v>1621266400</v>
      </c>
      <c r="F35">
        <f t="shared" si="1"/>
        <v>1117</v>
      </c>
      <c r="N35" s="1"/>
      <c r="O35" s="1"/>
      <c r="P35" s="1"/>
      <c r="Q35" s="1"/>
      <c r="S35" t="s">
        <v>110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105</v>
      </c>
      <c r="S36" s="64">
        <v>30000</v>
      </c>
      <c r="T36" s="71">
        <v>30000</v>
      </c>
      <c r="U36" s="136">
        <f ca="1">(T36+T38-N38)/10000</f>
        <v>3.2023000000000001</v>
      </c>
      <c r="V36" t="s">
        <v>48</v>
      </c>
    </row>
    <row r="37" spans="1:29" x14ac:dyDescent="0.25">
      <c r="O37" s="1"/>
      <c r="P37" s="1"/>
      <c r="Q37" s="1"/>
      <c r="R37" s="1" t="s">
        <v>103</v>
      </c>
      <c r="S37" s="65">
        <f ca="1">W27+W20+W13</f>
        <v>3746</v>
      </c>
      <c r="T37" s="131">
        <f ca="1">X27</f>
        <v>3746</v>
      </c>
      <c r="U37" s="137">
        <v>0</v>
      </c>
      <c r="V37" t="s">
        <v>75</v>
      </c>
      <c r="AB37" s="7"/>
      <c r="AC37" s="7"/>
    </row>
    <row r="38" spans="1:29" x14ac:dyDescent="0.25">
      <c r="M38" s="12" t="s">
        <v>152</v>
      </c>
      <c r="N38" s="4">
        <f ca="1">$Q$6+$S$6+$Q$13+$S$13+$Q$20+R20+T27+$R$27</f>
        <v>12977</v>
      </c>
      <c r="P38" s="4"/>
      <c r="Q38" s="1"/>
      <c r="R38" s="1" t="s">
        <v>102</v>
      </c>
      <c r="S38" s="66">
        <f>SUM(L4:M27)</f>
        <v>15000</v>
      </c>
      <c r="T38" s="131">
        <f>SUM(L4:M28)</f>
        <v>15000</v>
      </c>
      <c r="U38" s="137">
        <v>0</v>
      </c>
      <c r="V38" t="s">
        <v>75</v>
      </c>
      <c r="AB38" s="6"/>
      <c r="AC38" s="6"/>
    </row>
    <row r="39" spans="1:29" x14ac:dyDescent="0.25">
      <c r="D39" s="1"/>
      <c r="M39" s="12" t="s">
        <v>151</v>
      </c>
      <c r="N39" s="4">
        <f ca="1">+$S$6+$S$13+T27</f>
        <v>3977</v>
      </c>
      <c r="O39" s="1"/>
      <c r="P39" s="1"/>
      <c r="Q39" s="1"/>
      <c r="R39" s="1" t="s">
        <v>74</v>
      </c>
      <c r="S39" s="132">
        <v>0</v>
      </c>
      <c r="T39" s="133">
        <v>0</v>
      </c>
      <c r="U39" s="138">
        <f ca="1">(S6+S13+T27)*0.05/10000</f>
        <v>1.9885000000000003E-2</v>
      </c>
      <c r="AC39" s="6"/>
    </row>
    <row r="40" spans="1:29" ht="15.75" thickBot="1" x14ac:dyDescent="0.3">
      <c r="M40" s="12" t="s">
        <v>41</v>
      </c>
      <c r="N40" s="8">
        <f ca="1">0.05*N39</f>
        <v>198.85000000000002</v>
      </c>
      <c r="O40" s="1"/>
      <c r="P40" s="1"/>
      <c r="Q40" s="1"/>
      <c r="R40" s="1" t="s">
        <v>113</v>
      </c>
      <c r="S40" s="134"/>
      <c r="T40" s="135">
        <v>50000</v>
      </c>
      <c r="U40" s="139">
        <f ca="1">T40/10000-N40/10000</f>
        <v>4.9801149999999996</v>
      </c>
      <c r="AB40" s="6"/>
      <c r="AC40" s="6"/>
    </row>
    <row r="41" spans="1:29" x14ac:dyDescent="0.25">
      <c r="N41" s="15">
        <f ca="1">N39+N40</f>
        <v>4175.8500000000004</v>
      </c>
      <c r="P41" s="25"/>
      <c r="Q41" s="1"/>
      <c r="R41" s="1" t="s">
        <v>115</v>
      </c>
      <c r="U41" s="140">
        <f ca="1">(INT(0.95*(O4))+INT(0.95*O6)+INT(0.95*O11)+INT(0.95*O13)-L25-L26+S31)/10000</f>
        <v>1.0848</v>
      </c>
    </row>
    <row r="42" spans="1:29" x14ac:dyDescent="0.25">
      <c r="E42" s="29"/>
      <c r="R42" s="1" t="s">
        <v>153</v>
      </c>
      <c r="U42" s="140">
        <f ca="1">((P27)*0.95-M5-M12+S32)/10000</f>
        <v>0.69300499999999998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C17" sqref="C17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241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ht="15.75" x14ac:dyDescent="0.25">
      <c r="A4">
        <v>0</v>
      </c>
      <c r="B4" t="s">
        <v>1</v>
      </c>
      <c r="C4" s="72">
        <v>999</v>
      </c>
      <c r="D4" s="72">
        <v>800</v>
      </c>
      <c r="E4">
        <f>INT(INT(1000000/(C4+50))*0.9)</f>
        <v>857</v>
      </c>
      <c r="F4" s="76">
        <v>900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6.5" thickBot="1" x14ac:dyDescent="0.3">
      <c r="A5">
        <v>1</v>
      </c>
      <c r="B5" t="s">
        <v>17</v>
      </c>
      <c r="C5">
        <v>500</v>
      </c>
      <c r="E5">
        <f t="shared" ref="E5:E35" si="0">INT(INT(1000000/(C5+50))*0.9)</f>
        <v>1636</v>
      </c>
      <c r="F5" s="76">
        <v>901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6.5" thickBot="1" x14ac:dyDescent="0.3">
      <c r="A6">
        <v>2</v>
      </c>
      <c r="B6" t="s">
        <v>3</v>
      </c>
      <c r="C6">
        <v>500</v>
      </c>
      <c r="E6">
        <f t="shared" si="0"/>
        <v>1636</v>
      </c>
      <c r="F6" s="76">
        <v>902</v>
      </c>
      <c r="I6" s="71"/>
      <c r="J6" s="141" t="s">
        <v>238</v>
      </c>
      <c r="K6" s="142" t="s">
        <v>239</v>
      </c>
      <c r="N6" s="6"/>
      <c r="O6" s="6"/>
      <c r="P6" s="1"/>
      <c r="Q6" s="1"/>
      <c r="R6" s="1"/>
      <c r="S6" s="6"/>
      <c r="T6" s="6"/>
      <c r="U6" s="6"/>
      <c r="V6" s="6"/>
    </row>
    <row r="7" spans="1:25" ht="15.75" x14ac:dyDescent="0.25">
      <c r="A7">
        <v>3</v>
      </c>
      <c r="B7" t="s">
        <v>4</v>
      </c>
      <c r="C7">
        <v>919</v>
      </c>
      <c r="E7">
        <f t="shared" si="0"/>
        <v>927</v>
      </c>
      <c r="F7" s="76">
        <v>903</v>
      </c>
      <c r="I7" t="s">
        <v>116</v>
      </c>
      <c r="J7" s="46">
        <v>1</v>
      </c>
      <c r="K7" s="143">
        <f>(J7+(0.95*J4)-H4)</f>
        <v>0.94904999999999995</v>
      </c>
      <c r="Q7" s="6"/>
      <c r="R7" s="6"/>
      <c r="S7" s="6"/>
      <c r="T7" s="6"/>
      <c r="U7" s="6"/>
      <c r="V7" s="6"/>
    </row>
    <row r="8" spans="1:25" ht="15.75" x14ac:dyDescent="0.25">
      <c r="A8">
        <v>4</v>
      </c>
      <c r="B8" t="s">
        <v>5</v>
      </c>
      <c r="C8">
        <v>909</v>
      </c>
      <c r="E8">
        <f t="shared" si="0"/>
        <v>937</v>
      </c>
      <c r="F8" s="76">
        <v>904</v>
      </c>
      <c r="I8" t="s">
        <v>117</v>
      </c>
      <c r="J8" s="46">
        <v>1</v>
      </c>
      <c r="K8" s="144">
        <f>(J8+(0.95*J5)+H5)</f>
        <v>2.76</v>
      </c>
      <c r="N8" s="6"/>
      <c r="O8" s="6"/>
      <c r="P8" s="6"/>
      <c r="Q8" s="6"/>
      <c r="R8" s="1"/>
      <c r="S8" s="6"/>
      <c r="T8" s="6"/>
      <c r="U8" s="6"/>
      <c r="V8" s="6"/>
    </row>
    <row r="9" spans="1:25" ht="15.75" x14ac:dyDescent="0.25">
      <c r="A9">
        <v>5</v>
      </c>
      <c r="B9" t="s">
        <v>6</v>
      </c>
      <c r="C9">
        <v>800</v>
      </c>
      <c r="E9">
        <f t="shared" si="0"/>
        <v>1058</v>
      </c>
      <c r="F9" s="76">
        <v>905</v>
      </c>
      <c r="I9" t="s">
        <v>122</v>
      </c>
      <c r="J9" s="46"/>
      <c r="K9" s="145"/>
      <c r="O9" s="6"/>
      <c r="P9" s="6"/>
      <c r="Q9" s="6"/>
      <c r="R9" s="1"/>
      <c r="S9" s="6"/>
      <c r="T9" s="6"/>
      <c r="U9" s="6"/>
      <c r="V9" s="6"/>
    </row>
    <row r="10" spans="1:25" ht="15.75" x14ac:dyDescent="0.25">
      <c r="A10">
        <v>6</v>
      </c>
      <c r="B10" t="s">
        <v>7</v>
      </c>
      <c r="C10">
        <v>510</v>
      </c>
      <c r="E10">
        <f t="shared" si="0"/>
        <v>1606</v>
      </c>
      <c r="F10" s="76">
        <v>906</v>
      </c>
      <c r="I10" t="s">
        <v>103</v>
      </c>
      <c r="J10" s="46"/>
      <c r="K10" s="145"/>
      <c r="O10" s="19"/>
      <c r="P10" s="7"/>
      <c r="Q10" s="6"/>
      <c r="R10" s="1"/>
      <c r="V10" s="6"/>
      <c r="X10" s="2"/>
      <c r="Y10" s="2"/>
    </row>
    <row r="11" spans="1:25" ht="15.75" x14ac:dyDescent="0.25">
      <c r="A11">
        <v>7</v>
      </c>
      <c r="B11" t="s">
        <v>8</v>
      </c>
      <c r="C11">
        <v>739</v>
      </c>
      <c r="E11">
        <f t="shared" si="0"/>
        <v>1140</v>
      </c>
      <c r="F11" s="76">
        <v>739</v>
      </c>
      <c r="I11" s="1" t="s">
        <v>74</v>
      </c>
      <c r="J11" s="46">
        <v>0</v>
      </c>
      <c r="K11" s="144">
        <f>0.05*(J4+J5)</f>
        <v>8.9950000000000002E-2</v>
      </c>
      <c r="N11" s="2"/>
      <c r="O11" s="19"/>
      <c r="P11" s="3"/>
      <c r="V11" s="6"/>
    </row>
    <row r="12" spans="1:25" ht="16.5" thickBot="1" x14ac:dyDescent="0.3">
      <c r="A12">
        <v>8</v>
      </c>
      <c r="B12" t="s">
        <v>9</v>
      </c>
      <c r="C12">
        <v>620</v>
      </c>
      <c r="E12">
        <f t="shared" si="0"/>
        <v>1342</v>
      </c>
      <c r="F12" s="76">
        <v>620</v>
      </c>
      <c r="I12" s="1" t="s">
        <v>118</v>
      </c>
      <c r="J12" s="46">
        <v>10</v>
      </c>
      <c r="K12" s="146">
        <f>J12-(K7-J7)-(K8-J8)-K11</f>
        <v>8.2010000000000005</v>
      </c>
      <c r="V12" s="6"/>
    </row>
    <row r="13" spans="1:25" ht="15.75" x14ac:dyDescent="0.25">
      <c r="A13">
        <v>9</v>
      </c>
      <c r="B13" t="s">
        <v>10</v>
      </c>
      <c r="C13">
        <v>960</v>
      </c>
      <c r="E13">
        <f t="shared" si="0"/>
        <v>891</v>
      </c>
      <c r="F13" s="76">
        <v>960</v>
      </c>
      <c r="I13" s="18" t="s">
        <v>240</v>
      </c>
      <c r="J13" s="46">
        <v>5</v>
      </c>
      <c r="K13" s="60">
        <f>(J13-K11)</f>
        <v>4.91005</v>
      </c>
      <c r="L13" s="51"/>
      <c r="V13" s="6"/>
    </row>
    <row r="14" spans="1:25" ht="15.75" x14ac:dyDescent="0.25">
      <c r="A14">
        <v>10</v>
      </c>
      <c r="B14" t="s">
        <v>11</v>
      </c>
      <c r="C14">
        <v>650</v>
      </c>
      <c r="E14">
        <f t="shared" si="0"/>
        <v>1285</v>
      </c>
      <c r="F14" s="76">
        <v>650</v>
      </c>
      <c r="I14" s="18"/>
      <c r="J14" s="50"/>
      <c r="K14" s="50"/>
      <c r="V14" s="6"/>
    </row>
    <row r="15" spans="1:25" ht="15.75" x14ac:dyDescent="0.25">
      <c r="A15">
        <v>11</v>
      </c>
      <c r="B15" t="s">
        <v>12</v>
      </c>
      <c r="C15">
        <v>688</v>
      </c>
      <c r="E15">
        <f t="shared" si="0"/>
        <v>1219</v>
      </c>
      <c r="F15" s="76">
        <v>688</v>
      </c>
      <c r="V15" s="6"/>
    </row>
    <row r="16" spans="1:25" ht="15.75" x14ac:dyDescent="0.25">
      <c r="A16">
        <v>12</v>
      </c>
      <c r="B16" t="s">
        <v>13</v>
      </c>
      <c r="C16">
        <v>970</v>
      </c>
      <c r="E16">
        <f t="shared" si="0"/>
        <v>882</v>
      </c>
      <c r="F16" s="76">
        <v>970</v>
      </c>
      <c r="J16" s="46"/>
      <c r="K16" s="46"/>
      <c r="V16" s="6"/>
    </row>
    <row r="17" spans="1:25" ht="15.75" x14ac:dyDescent="0.25">
      <c r="A17">
        <v>13</v>
      </c>
      <c r="B17" t="s">
        <v>14</v>
      </c>
      <c r="C17">
        <v>730</v>
      </c>
      <c r="E17">
        <f t="shared" si="0"/>
        <v>1153</v>
      </c>
      <c r="F17" s="76">
        <v>730</v>
      </c>
      <c r="V17" s="6"/>
      <c r="X17" s="2"/>
      <c r="Y17" s="2"/>
    </row>
    <row r="18" spans="1:25" ht="15.75" x14ac:dyDescent="0.25">
      <c r="A18">
        <v>14</v>
      </c>
      <c r="B18" t="s">
        <v>15</v>
      </c>
      <c r="C18">
        <v>699</v>
      </c>
      <c r="E18">
        <f t="shared" si="0"/>
        <v>1201</v>
      </c>
      <c r="F18" s="76">
        <v>699</v>
      </c>
      <c r="L18" s="25"/>
      <c r="V18" s="6"/>
    </row>
    <row r="19" spans="1:25" ht="15.75" x14ac:dyDescent="0.25">
      <c r="A19">
        <v>15</v>
      </c>
      <c r="B19" t="s">
        <v>16</v>
      </c>
      <c r="C19">
        <v>884</v>
      </c>
      <c r="E19">
        <f t="shared" si="0"/>
        <v>963</v>
      </c>
      <c r="F19" s="76">
        <v>884</v>
      </c>
      <c r="V19" s="6"/>
    </row>
    <row r="20" spans="1:25" ht="15.75" x14ac:dyDescent="0.25">
      <c r="A20">
        <v>16</v>
      </c>
      <c r="B20" t="s">
        <v>17</v>
      </c>
      <c r="C20">
        <v>520</v>
      </c>
      <c r="E20">
        <f t="shared" si="0"/>
        <v>1578</v>
      </c>
      <c r="F20" s="76">
        <v>520</v>
      </c>
      <c r="V20" s="6"/>
    </row>
    <row r="21" spans="1:25" ht="15.75" x14ac:dyDescent="0.25">
      <c r="A21">
        <v>17</v>
      </c>
      <c r="B21" t="s">
        <v>18</v>
      </c>
      <c r="C21">
        <v>901</v>
      </c>
      <c r="E21">
        <f t="shared" si="0"/>
        <v>945</v>
      </c>
      <c r="F21" s="76">
        <v>901</v>
      </c>
      <c r="V21" s="6"/>
    </row>
    <row r="22" spans="1:25" ht="15.75" x14ac:dyDescent="0.25">
      <c r="A22">
        <v>18</v>
      </c>
      <c r="B22" t="s">
        <v>19</v>
      </c>
      <c r="C22">
        <v>620</v>
      </c>
      <c r="E22">
        <f t="shared" si="0"/>
        <v>1342</v>
      </c>
      <c r="F22" s="76">
        <v>620</v>
      </c>
      <c r="J22" s="3"/>
      <c r="V22" s="6"/>
    </row>
    <row r="23" spans="1:25" ht="15.75" x14ac:dyDescent="0.25">
      <c r="A23">
        <v>19</v>
      </c>
      <c r="B23" t="s">
        <v>20</v>
      </c>
      <c r="C23">
        <v>764</v>
      </c>
      <c r="E23">
        <f t="shared" si="0"/>
        <v>1105</v>
      </c>
      <c r="F23" s="76">
        <v>764</v>
      </c>
      <c r="J23" s="3"/>
    </row>
    <row r="24" spans="1:25" ht="15.75" x14ac:dyDescent="0.25">
      <c r="A24">
        <v>20</v>
      </c>
      <c r="B24" t="s">
        <v>21</v>
      </c>
      <c r="C24">
        <v>851</v>
      </c>
      <c r="E24">
        <f t="shared" si="0"/>
        <v>998</v>
      </c>
      <c r="F24" s="76">
        <v>851</v>
      </c>
    </row>
    <row r="25" spans="1:25" ht="15.75" x14ac:dyDescent="0.25">
      <c r="A25">
        <v>21</v>
      </c>
      <c r="B25" t="s">
        <v>204</v>
      </c>
      <c r="C25">
        <v>820</v>
      </c>
      <c r="E25">
        <f t="shared" si="0"/>
        <v>1034</v>
      </c>
      <c r="F25" s="76">
        <v>820</v>
      </c>
    </row>
    <row r="26" spans="1:25" ht="15.75" x14ac:dyDescent="0.25">
      <c r="A26">
        <v>22</v>
      </c>
      <c r="B26" t="s">
        <v>205</v>
      </c>
      <c r="C26">
        <v>770</v>
      </c>
      <c r="E26">
        <f t="shared" si="0"/>
        <v>1097</v>
      </c>
      <c r="F26" s="76">
        <v>770</v>
      </c>
    </row>
    <row r="27" spans="1:25" ht="15.75" x14ac:dyDescent="0.25">
      <c r="A27">
        <v>23</v>
      </c>
      <c r="B27" t="s">
        <v>206</v>
      </c>
      <c r="C27">
        <v>790</v>
      </c>
      <c r="E27">
        <f t="shared" si="0"/>
        <v>1071</v>
      </c>
      <c r="F27" s="76">
        <v>790</v>
      </c>
    </row>
    <row r="28" spans="1:25" ht="15.75" x14ac:dyDescent="0.25">
      <c r="A28">
        <v>24</v>
      </c>
      <c r="B28" t="s">
        <v>207</v>
      </c>
      <c r="C28">
        <v>730</v>
      </c>
      <c r="E28">
        <f t="shared" si="0"/>
        <v>1153</v>
      </c>
      <c r="F28" s="76">
        <v>730</v>
      </c>
    </row>
    <row r="29" spans="1:25" ht="15.75" x14ac:dyDescent="0.25">
      <c r="A29">
        <v>25</v>
      </c>
      <c r="B29" t="s">
        <v>208</v>
      </c>
      <c r="C29">
        <v>690</v>
      </c>
      <c r="E29">
        <f t="shared" si="0"/>
        <v>1215</v>
      </c>
      <c r="F29" s="76">
        <v>690</v>
      </c>
    </row>
    <row r="30" spans="1:25" ht="15.75" x14ac:dyDescent="0.25">
      <c r="A30">
        <v>26</v>
      </c>
      <c r="B30" t="s">
        <v>209</v>
      </c>
      <c r="C30">
        <v>970</v>
      </c>
      <c r="E30">
        <f t="shared" si="0"/>
        <v>882</v>
      </c>
      <c r="F30" s="76">
        <v>970</v>
      </c>
    </row>
    <row r="31" spans="1:25" ht="15.75" x14ac:dyDescent="0.25">
      <c r="A31">
        <v>27</v>
      </c>
      <c r="B31" t="s">
        <v>214</v>
      </c>
      <c r="C31">
        <v>760</v>
      </c>
      <c r="E31">
        <f t="shared" si="0"/>
        <v>1110</v>
      </c>
      <c r="F31" s="76">
        <v>760</v>
      </c>
    </row>
    <row r="32" spans="1:25" ht="15.75" x14ac:dyDescent="0.25">
      <c r="A32">
        <v>28</v>
      </c>
      <c r="B32" t="s">
        <v>210</v>
      </c>
      <c r="C32">
        <v>919</v>
      </c>
      <c r="E32">
        <f t="shared" si="0"/>
        <v>927</v>
      </c>
      <c r="F32" s="76">
        <v>919</v>
      </c>
    </row>
    <row r="33" spans="1:10" ht="15.75" x14ac:dyDescent="0.25">
      <c r="A33">
        <v>29</v>
      </c>
      <c r="B33" t="s">
        <v>211</v>
      </c>
      <c r="C33">
        <v>720</v>
      </c>
      <c r="E33">
        <f t="shared" si="0"/>
        <v>1168</v>
      </c>
      <c r="F33" s="76">
        <v>720</v>
      </c>
      <c r="I33" s="9"/>
      <c r="J33" s="9"/>
    </row>
    <row r="34" spans="1:10" ht="15.75" x14ac:dyDescent="0.25">
      <c r="A34">
        <v>30</v>
      </c>
      <c r="B34" t="s">
        <v>212</v>
      </c>
      <c r="C34">
        <v>672</v>
      </c>
      <c r="E34">
        <f t="shared" si="0"/>
        <v>1246</v>
      </c>
      <c r="F34" s="76">
        <v>672</v>
      </c>
      <c r="I34" s="1"/>
      <c r="J34" s="8"/>
    </row>
    <row r="35" spans="1:10" ht="15.75" x14ac:dyDescent="0.25">
      <c r="A35">
        <v>31</v>
      </c>
      <c r="B35" t="s">
        <v>213</v>
      </c>
      <c r="C35">
        <v>800</v>
      </c>
      <c r="E35">
        <f t="shared" si="0"/>
        <v>1058</v>
      </c>
      <c r="F35" s="76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N24" sqref="N24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136</v>
      </c>
      <c r="H3" s="2" t="s">
        <v>33</v>
      </c>
      <c r="I3" s="2" t="s">
        <v>171</v>
      </c>
      <c r="J3" s="2" t="s">
        <v>172</v>
      </c>
      <c r="K3" s="2" t="s">
        <v>28</v>
      </c>
      <c r="L3" s="2" t="s">
        <v>108</v>
      </c>
      <c r="M3" s="2" t="s">
        <v>71</v>
      </c>
      <c r="N3" s="2" t="s">
        <v>165</v>
      </c>
      <c r="O3" s="2" t="s">
        <v>179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INT(INT(1000000/(MOD(D4,10000)+50))*IF(D4&gt;10000,0.9,0.95))</f>
        <v>3166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INT(INT(1000000/(MOD(D5,10000)+50))*IF(D5&gt;10000,0.9,0.95))</f>
        <v>1727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100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3800</v>
      </c>
      <c r="G6">
        <v>3</v>
      </c>
      <c r="H6">
        <v>3</v>
      </c>
      <c r="I6">
        <v>1</v>
      </c>
      <c r="J6">
        <v>10000</v>
      </c>
      <c r="K6">
        <f>MOD(F7,10000)</f>
        <v>979</v>
      </c>
      <c r="L6">
        <f t="shared" si="2"/>
        <v>9790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979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989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1117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1695</v>
      </c>
      <c r="G10" s="2" t="s">
        <v>136</v>
      </c>
      <c r="H10" s="2" t="s">
        <v>33</v>
      </c>
      <c r="I10" s="2" t="s">
        <v>171</v>
      </c>
      <c r="J10" s="2" t="s">
        <v>172</v>
      </c>
      <c r="K10" s="2" t="s">
        <v>28</v>
      </c>
      <c r="L10" s="2" t="s">
        <v>108</v>
      </c>
      <c r="M10" s="2" t="s">
        <v>71</v>
      </c>
      <c r="N10" s="2" t="s">
        <v>165</v>
      </c>
      <c r="O10" s="2" t="s">
        <v>179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1203</v>
      </c>
      <c r="G11">
        <v>2</v>
      </c>
      <c r="H11">
        <v>0</v>
      </c>
      <c r="I11">
        <v>1</v>
      </c>
      <c r="J11">
        <v>10000</v>
      </c>
      <c r="K11">
        <f>MOD(F4,10000)</f>
        <v>3166</v>
      </c>
      <c r="L11">
        <f>K11/1000*J11</f>
        <v>31660</v>
      </c>
      <c r="M11" t="b">
        <v>1</v>
      </c>
      <c r="N11" s="3">
        <f>L11*0.05</f>
        <v>1583</v>
      </c>
      <c r="O11" s="15">
        <f>L11-N11+J11</f>
        <v>40077</v>
      </c>
      <c r="P11" s="102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1417</v>
      </c>
      <c r="G12">
        <v>2</v>
      </c>
      <c r="H12">
        <v>2</v>
      </c>
      <c r="I12">
        <v>1</v>
      </c>
      <c r="J12">
        <v>10000</v>
      </c>
      <c r="K12">
        <f>MOD(F6,10000)</f>
        <v>3800</v>
      </c>
      <c r="L12">
        <f>K12/1000*J12</f>
        <v>38000</v>
      </c>
      <c r="M12" t="b">
        <v>1</v>
      </c>
      <c r="N12" s="3">
        <f>(L12*0.05)</f>
        <v>1900</v>
      </c>
      <c r="O12">
        <f t="shared" ref="O12" si="3">L12-N12+J12</f>
        <v>46100</v>
      </c>
      <c r="P12" s="101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940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1356</v>
      </c>
      <c r="N14" s="2" t="s">
        <v>176</v>
      </c>
      <c r="O14" s="2" t="s">
        <v>177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1287</v>
      </c>
      <c r="L15" s="51"/>
      <c r="M15" t="s">
        <v>170</v>
      </c>
      <c r="N15" s="4">
        <v>300000</v>
      </c>
      <c r="O15" s="4">
        <f>N15+SUM(J4:J12)-J5-J6-J11-J12-L11-L12</f>
        <v>240340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931</v>
      </c>
      <c r="M16" t="s">
        <v>76</v>
      </c>
      <c r="N16" s="4">
        <v>20000</v>
      </c>
      <c r="O16" s="3">
        <f>INT(N16+L11+L12-N11-N12)</f>
        <v>86177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1217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1268</v>
      </c>
      <c r="J18" s="1"/>
      <c r="K18" s="1"/>
      <c r="M18" s="62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1016</v>
      </c>
      <c r="J19" s="1"/>
      <c r="K19" s="1"/>
      <c r="M19" s="62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1666</v>
      </c>
      <c r="J20" s="17"/>
      <c r="M20" t="s">
        <v>175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998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1417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1166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1053</v>
      </c>
      <c r="M24" t="s">
        <v>173</v>
      </c>
      <c r="N24" s="104">
        <f>(N11+N12+N5)/10000</f>
        <v>0.37330000000000002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204</v>
      </c>
      <c r="D25">
        <v>820</v>
      </c>
      <c r="E25" s="5">
        <v>1611266400</v>
      </c>
      <c r="F25">
        <f t="shared" si="1"/>
        <v>1091</v>
      </c>
      <c r="M25" t="s">
        <v>174</v>
      </c>
      <c r="N25" s="11">
        <f>(N17+N16+N15)/10000-N24</f>
        <v>34.6267</v>
      </c>
      <c r="O25" t="s">
        <v>215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205</v>
      </c>
      <c r="D26">
        <v>770</v>
      </c>
      <c r="E26" s="5">
        <v>1611266400</v>
      </c>
      <c r="F26">
        <f t="shared" si="1"/>
        <v>1158</v>
      </c>
      <c r="M26" t="s">
        <v>174</v>
      </c>
      <c r="N26" s="104">
        <f>N25-O16/10000</f>
        <v>26.009</v>
      </c>
      <c r="O26" t="s">
        <v>178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206</v>
      </c>
      <c r="D27">
        <v>790</v>
      </c>
      <c r="E27" s="5">
        <v>1611266400</v>
      </c>
      <c r="F27">
        <f t="shared" si="1"/>
        <v>1130</v>
      </c>
      <c r="M27" s="8" t="s">
        <v>217</v>
      </c>
      <c r="N27" s="11">
        <f>(N16-J11-J12+O11+O12)/10000</f>
        <v>8.6176999999999992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207</v>
      </c>
      <c r="D28">
        <v>730</v>
      </c>
      <c r="E28" s="5">
        <v>1611266400</v>
      </c>
      <c r="F28">
        <f t="shared" si="1"/>
        <v>1217</v>
      </c>
      <c r="L28" s="3"/>
      <c r="M28" t="s">
        <v>216</v>
      </c>
      <c r="N28" s="103">
        <f>N27-N22</f>
        <v>8.6109852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208</v>
      </c>
      <c r="D29">
        <v>690</v>
      </c>
      <c r="E29" s="5">
        <v>1609290000</v>
      </c>
      <c r="F29">
        <f t="shared" si="1"/>
        <v>1283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209</v>
      </c>
      <c r="D30">
        <v>970</v>
      </c>
      <c r="E30" s="5">
        <v>1611266400</v>
      </c>
      <c r="F30">
        <f t="shared" si="1"/>
        <v>931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214</v>
      </c>
      <c r="D31">
        <v>760</v>
      </c>
      <c r="E31" s="5">
        <v>1611266400</v>
      </c>
      <c r="F31">
        <f t="shared" si="1"/>
        <v>1172</v>
      </c>
      <c r="M31" s="77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210</v>
      </c>
      <c r="D32">
        <v>919</v>
      </c>
      <c r="E32" s="5">
        <v>1611266400</v>
      </c>
      <c r="F32">
        <f t="shared" si="1"/>
        <v>979</v>
      </c>
      <c r="M32" s="77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211</v>
      </c>
      <c r="D33">
        <v>720</v>
      </c>
      <c r="E33" s="5">
        <v>1611266400</v>
      </c>
      <c r="F33">
        <f t="shared" si="1"/>
        <v>1233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212</v>
      </c>
      <c r="D34">
        <v>672</v>
      </c>
      <c r="E34" s="5">
        <v>1609290000</v>
      </c>
      <c r="F34">
        <f t="shared" si="1"/>
        <v>1315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213</v>
      </c>
      <c r="D35">
        <v>800</v>
      </c>
      <c r="E35" s="5">
        <v>1611266400</v>
      </c>
      <c r="F35">
        <f t="shared" si="1"/>
        <v>1117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F4" sqref="F4:F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7" t="s">
        <v>198</v>
      </c>
      <c r="F1" s="72"/>
      <c r="G1" s="72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199</v>
      </c>
      <c r="H5" s="2" t="s">
        <v>106</v>
      </c>
      <c r="I5" s="2" t="s">
        <v>180</v>
      </c>
      <c r="J5" s="2" t="s">
        <v>171</v>
      </c>
      <c r="K5" s="2" t="s">
        <v>181</v>
      </c>
      <c r="L5" s="2" t="s">
        <v>182</v>
      </c>
      <c r="M5" s="2" t="s">
        <v>193</v>
      </c>
      <c r="N5" s="2" t="s">
        <v>185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9">
        <v>3</v>
      </c>
      <c r="I6" s="59">
        <v>0</v>
      </c>
      <c r="J6" s="59">
        <v>0</v>
      </c>
      <c r="K6" s="59">
        <v>1000</v>
      </c>
      <c r="L6" s="59">
        <f>MOD(D4,10000)</f>
        <v>999</v>
      </c>
      <c r="M6" s="59"/>
      <c r="N6" s="59"/>
      <c r="O6" t="s">
        <v>195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5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6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81">
        <v>2</v>
      </c>
      <c r="I8" s="82">
        <v>2</v>
      </c>
      <c r="J8" s="82">
        <v>1</v>
      </c>
      <c r="K8" s="82">
        <v>1000</v>
      </c>
      <c r="L8" s="86">
        <f>F6</f>
        <v>1727</v>
      </c>
      <c r="M8" s="55">
        <f>INT(K8+L8*0.95)</f>
        <v>2640</v>
      </c>
      <c r="N8" s="83">
        <f>L8*K8/1000*0.05</f>
        <v>86.350000000000009</v>
      </c>
      <c r="O8" s="25" t="s">
        <v>107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8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196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106</v>
      </c>
      <c r="I12" s="2" t="s">
        <v>180</v>
      </c>
      <c r="J12" s="2" t="s">
        <v>171</v>
      </c>
      <c r="K12" s="2" t="s">
        <v>181</v>
      </c>
      <c r="L12" s="2" t="s">
        <v>183</v>
      </c>
      <c r="M12" s="2" t="s">
        <v>193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191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191</v>
      </c>
      <c r="H14" s="1">
        <v>2</v>
      </c>
      <c r="I14">
        <v>3</v>
      </c>
      <c r="J14">
        <v>0</v>
      </c>
      <c r="K14" s="72">
        <v>1000</v>
      </c>
      <c r="L14">
        <v>1950</v>
      </c>
      <c r="M14" s="78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191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194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197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192</v>
      </c>
      <c r="H18" s="79">
        <v>3</v>
      </c>
      <c r="I18" s="59">
        <v>2</v>
      </c>
      <c r="J18" s="59">
        <v>1</v>
      </c>
      <c r="K18" s="52">
        <f>(L13-1000)/1000*K13</f>
        <v>1500</v>
      </c>
      <c r="L18" s="52">
        <f>(1+K13/K18)*1000</f>
        <v>1666.6666666666665</v>
      </c>
      <c r="M18" s="80">
        <f>INT(K18+(L18-1000)*0.95/1000*K18)</f>
        <v>2450</v>
      </c>
      <c r="N18" s="84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192</v>
      </c>
      <c r="H19" s="81">
        <v>3</v>
      </c>
      <c r="I19" s="82">
        <v>3</v>
      </c>
      <c r="J19" s="82">
        <v>1</v>
      </c>
      <c r="K19" s="55">
        <f>(L14-1000)/1000*K14</f>
        <v>950</v>
      </c>
      <c r="L19" s="55">
        <f>(1+K14/K19)*1000</f>
        <v>2052.6315789473683</v>
      </c>
      <c r="M19" s="80">
        <f>INT(K19+(L19-1000)*0.95/1000*K19)</f>
        <v>1900</v>
      </c>
      <c r="N19" s="84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189</v>
      </c>
      <c r="K20" t="s">
        <v>188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184</v>
      </c>
      <c r="J21" s="4">
        <v>10000</v>
      </c>
      <c r="K21" s="92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187</v>
      </c>
      <c r="K24" s="87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186</v>
      </c>
      <c r="K25" s="94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8">
        <v>20590</v>
      </c>
      <c r="I26" t="s">
        <v>76</v>
      </c>
      <c r="J26" s="4">
        <v>20000</v>
      </c>
      <c r="K26" s="95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8">
        <v>10900</v>
      </c>
      <c r="I27" t="s">
        <v>77</v>
      </c>
      <c r="J27" s="4">
        <v>20000</v>
      </c>
      <c r="K27" s="93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12" sqref="E12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2" t="s">
        <v>242</v>
      </c>
    </row>
    <row r="12" spans="3:5" x14ac:dyDescent="0.25">
      <c r="D12" t="s">
        <v>43</v>
      </c>
      <c r="E12" s="72" t="s">
        <v>243</v>
      </c>
    </row>
    <row r="13" spans="3:5" x14ac:dyDescent="0.25">
      <c r="D13" t="s">
        <v>44</v>
      </c>
      <c r="E13" s="72" t="s">
        <v>244</v>
      </c>
    </row>
    <row r="15" spans="3:5" x14ac:dyDescent="0.25">
      <c r="C15" t="s">
        <v>248</v>
      </c>
    </row>
    <row r="16" spans="3:5" x14ac:dyDescent="0.25">
      <c r="C16" t="s">
        <v>245</v>
      </c>
    </row>
    <row r="17" spans="3:5" x14ac:dyDescent="0.25">
      <c r="C17" t="s">
        <v>68</v>
      </c>
    </row>
    <row r="18" spans="3:5" x14ac:dyDescent="0.25">
      <c r="D18" s="72" t="s">
        <v>78</v>
      </c>
    </row>
    <row r="19" spans="3:5" x14ac:dyDescent="0.25">
      <c r="D19" s="72" t="s">
        <v>79</v>
      </c>
    </row>
    <row r="20" spans="3:5" x14ac:dyDescent="0.25">
      <c r="D20" s="72" t="s">
        <v>246</v>
      </c>
      <c r="E20" s="72"/>
    </row>
    <row r="22" spans="3:5" x14ac:dyDescent="0.25">
      <c r="C22" t="s">
        <v>247</v>
      </c>
    </row>
    <row r="23" spans="3:5" x14ac:dyDescent="0.25">
      <c r="C23" t="s">
        <v>69</v>
      </c>
    </row>
    <row r="24" spans="3:5" x14ac:dyDescent="0.25">
      <c r="D24" s="72" t="s">
        <v>138</v>
      </c>
      <c r="E24" s="72"/>
    </row>
    <row r="25" spans="3:5" x14ac:dyDescent="0.25">
      <c r="D25" s="72" t="s">
        <v>137</v>
      </c>
      <c r="E25" s="72"/>
    </row>
    <row r="26" spans="3:5" x14ac:dyDescent="0.25">
      <c r="D26" s="72" t="s">
        <v>249</v>
      </c>
      <c r="E26" s="72"/>
    </row>
    <row r="35" spans="5:5" x14ac:dyDescent="0.25">
      <c r="E3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topLeftCell="A7" zoomScale="75" zoomScaleNormal="75" workbookViewId="0">
      <selection activeCell="M19" sqref="M19"/>
    </sheetView>
  </sheetViews>
  <sheetFormatPr defaultRowHeight="15" x14ac:dyDescent="0.25"/>
  <cols>
    <col min="2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F8" t="s">
        <v>222</v>
      </c>
      <c r="H8" t="s">
        <v>221</v>
      </c>
      <c r="Q8" s="13"/>
      <c r="R8" s="13"/>
      <c r="T8"/>
      <c r="V8" s="13"/>
      <c r="W8" s="13"/>
    </row>
    <row r="9" spans="2:23" x14ac:dyDescent="0.25">
      <c r="B9" s="89"/>
      <c r="F9" t="s">
        <v>223</v>
      </c>
      <c r="H9" t="s">
        <v>258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149</v>
      </c>
      <c r="C13" t="s">
        <v>259</v>
      </c>
      <c r="D13" s="2" t="s">
        <v>250</v>
      </c>
      <c r="E13" s="2" t="s">
        <v>251</v>
      </c>
      <c r="F13" s="2" t="s">
        <v>252</v>
      </c>
      <c r="G13" s="2" t="s">
        <v>253</v>
      </c>
      <c r="H13" s="2" t="s">
        <v>254</v>
      </c>
      <c r="I13" s="2" t="s">
        <v>255</v>
      </c>
      <c r="J13" s="2" t="s">
        <v>256</v>
      </c>
      <c r="K13" s="2" t="s">
        <v>257</v>
      </c>
      <c r="T13"/>
    </row>
    <row r="14" spans="2:23" x14ac:dyDescent="0.25">
      <c r="P14" s="25"/>
      <c r="T14"/>
    </row>
    <row r="15" spans="2:23" x14ac:dyDescent="0.25">
      <c r="B15" t="s">
        <v>140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x14ac:dyDescent="0.25">
      <c r="B17" s="30" t="s">
        <v>142</v>
      </c>
      <c r="C17" s="52">
        <v>60000</v>
      </c>
      <c r="D17" s="52">
        <v>60000</v>
      </c>
      <c r="E17" s="52">
        <v>60000</v>
      </c>
      <c r="F17" s="52">
        <v>50000</v>
      </c>
      <c r="G17" s="52">
        <v>50000</v>
      </c>
      <c r="H17" s="52">
        <v>50000</v>
      </c>
      <c r="I17" s="52">
        <f>H17</f>
        <v>50000</v>
      </c>
      <c r="J17" s="53">
        <f>H17</f>
        <v>50000</v>
      </c>
      <c r="K17" s="21"/>
      <c r="T17"/>
    </row>
    <row r="18" spans="2:20" x14ac:dyDescent="0.25">
      <c r="B18" s="34" t="s">
        <v>143</v>
      </c>
      <c r="C18" s="4">
        <v>40000</v>
      </c>
      <c r="D18" s="4">
        <v>40000</v>
      </c>
      <c r="E18" s="4">
        <v>40000</v>
      </c>
      <c r="F18" s="4">
        <v>35000</v>
      </c>
      <c r="G18" s="4">
        <v>35000</v>
      </c>
      <c r="H18" s="4">
        <v>35000</v>
      </c>
      <c r="I18" s="4">
        <f t="shared" ref="I18:I19" si="0">H18</f>
        <v>35000</v>
      </c>
      <c r="J18" s="54">
        <f t="shared" ref="J18:J19" si="1">H18</f>
        <v>35000</v>
      </c>
      <c r="K18" s="21"/>
      <c r="T18"/>
    </row>
    <row r="19" spans="2:20" x14ac:dyDescent="0.25">
      <c r="B19" s="108" t="s">
        <v>145</v>
      </c>
      <c r="C19" s="109"/>
      <c r="D19" s="109"/>
      <c r="E19" s="109"/>
      <c r="F19" s="109"/>
      <c r="G19" s="109"/>
      <c r="H19" s="149">
        <f>INT(H23/G25)</f>
        <v>17258</v>
      </c>
      <c r="I19" s="109">
        <f t="shared" si="0"/>
        <v>17258</v>
      </c>
      <c r="J19" s="110">
        <f t="shared" si="1"/>
        <v>17258</v>
      </c>
      <c r="K19" s="21"/>
      <c r="T19"/>
    </row>
    <row r="20" spans="2:20" ht="15.75" thickBot="1" x14ac:dyDescent="0.3">
      <c r="B20" s="38" t="s">
        <v>141</v>
      </c>
      <c r="C20" s="55">
        <f t="shared" ref="C20:J20" si="2">SUM(C17:C19)</f>
        <v>100000</v>
      </c>
      <c r="D20" s="55">
        <f t="shared" si="2"/>
        <v>100000</v>
      </c>
      <c r="E20" s="55">
        <f t="shared" si="2"/>
        <v>100000</v>
      </c>
      <c r="F20" s="55">
        <f t="shared" si="2"/>
        <v>85000</v>
      </c>
      <c r="G20" s="55">
        <f t="shared" si="2"/>
        <v>85000</v>
      </c>
      <c r="H20" s="55">
        <f t="shared" si="2"/>
        <v>102258</v>
      </c>
      <c r="I20" s="55">
        <f t="shared" si="2"/>
        <v>102258</v>
      </c>
      <c r="J20" s="55">
        <f t="shared" si="2"/>
        <v>102258</v>
      </c>
      <c r="T20"/>
    </row>
    <row r="21" spans="2:20" x14ac:dyDescent="0.25">
      <c r="B21" s="34" t="s">
        <v>146</v>
      </c>
      <c r="C21" s="3">
        <v>6</v>
      </c>
      <c r="D21" s="3">
        <f t="shared" ref="D21:J21" si="3">D17/D20*D24</f>
        <v>6.3</v>
      </c>
      <c r="E21" s="3">
        <f t="shared" si="3"/>
        <v>6.6</v>
      </c>
      <c r="F21" s="3">
        <f t="shared" si="3"/>
        <v>5.5</v>
      </c>
      <c r="G21" s="3">
        <f t="shared" si="3"/>
        <v>5.7941176470588234</v>
      </c>
      <c r="H21" s="3">
        <f t="shared" si="3"/>
        <v>5.794167693481195</v>
      </c>
      <c r="I21" s="3">
        <f t="shared" si="3"/>
        <v>6.0386473429951693</v>
      </c>
      <c r="J21" s="60">
        <f t="shared" si="3"/>
        <v>6.2831269925091435</v>
      </c>
      <c r="K21" s="151" t="s">
        <v>146</v>
      </c>
      <c r="P21" s="25"/>
      <c r="T21"/>
    </row>
    <row r="22" spans="2:20" x14ac:dyDescent="0.25">
      <c r="B22" s="34" t="s">
        <v>147</v>
      </c>
      <c r="C22" s="3">
        <v>4</v>
      </c>
      <c r="D22" s="3">
        <f t="shared" ref="D22:J22" si="4">D18/D20*D24</f>
        <v>4.2</v>
      </c>
      <c r="E22" s="3">
        <f t="shared" si="4"/>
        <v>4.4000000000000004</v>
      </c>
      <c r="F22" s="3">
        <f t="shared" si="4"/>
        <v>3.8499999999999996</v>
      </c>
      <c r="G22" s="3">
        <f t="shared" si="4"/>
        <v>4.0558823529411763</v>
      </c>
      <c r="H22" s="3">
        <f t="shared" si="4"/>
        <v>4.0559173854368362</v>
      </c>
      <c r="I22" s="3">
        <f t="shared" si="4"/>
        <v>4.2270531400966185</v>
      </c>
      <c r="J22" s="60">
        <f t="shared" si="4"/>
        <v>4.3981888947564007</v>
      </c>
      <c r="K22" s="152" t="s">
        <v>147</v>
      </c>
      <c r="P22" s="25"/>
      <c r="T22"/>
    </row>
    <row r="23" spans="2:20" ht="15.75" thickBot="1" x14ac:dyDescent="0.3">
      <c r="B23" s="108" t="s">
        <v>148</v>
      </c>
      <c r="C23" s="147"/>
      <c r="D23" s="147"/>
      <c r="E23" s="147"/>
      <c r="F23" s="147"/>
      <c r="G23" s="147"/>
      <c r="H23" s="147">
        <v>2</v>
      </c>
      <c r="I23" s="147">
        <f>I19/I20*I24</f>
        <v>2.0842995169082128</v>
      </c>
      <c r="J23" s="150">
        <f>J19/J20*J24</f>
        <v>2.1686841127344558</v>
      </c>
      <c r="K23" s="153" t="s">
        <v>148</v>
      </c>
      <c r="P23" s="25"/>
      <c r="T23"/>
    </row>
    <row r="24" spans="2:20" x14ac:dyDescent="0.25">
      <c r="B24" s="34" t="s">
        <v>139</v>
      </c>
      <c r="C24" s="3">
        <f>C21+C22</f>
        <v>10</v>
      </c>
      <c r="D24" s="3">
        <v>10.5</v>
      </c>
      <c r="E24" s="3">
        <v>11</v>
      </c>
      <c r="F24" s="46">
        <f>E24+(F17-E17)*E25+(F18-E18)*E25</f>
        <v>9.35</v>
      </c>
      <c r="G24" s="46">
        <f>F24+0.5</f>
        <v>9.85</v>
      </c>
      <c r="H24" s="46">
        <f>G24+H23</f>
        <v>11.85</v>
      </c>
      <c r="I24" s="46">
        <f>H24+0.5</f>
        <v>12.35</v>
      </c>
      <c r="J24" s="46">
        <f>I24+0.5</f>
        <v>12.85</v>
      </c>
      <c r="T24"/>
    </row>
    <row r="25" spans="2:20" ht="15.75" thickBot="1" x14ac:dyDescent="0.3">
      <c r="B25" s="38" t="s">
        <v>144</v>
      </c>
      <c r="C25" s="148">
        <f t="shared" ref="C25:E25" si="5">C24/C20</f>
        <v>1E-4</v>
      </c>
      <c r="D25" s="148">
        <f t="shared" si="5"/>
        <v>1.05E-4</v>
      </c>
      <c r="E25" s="148">
        <f t="shared" si="5"/>
        <v>1.1E-4</v>
      </c>
      <c r="F25" s="148">
        <f>F24/F20</f>
        <v>1.0999999999999999E-4</v>
      </c>
      <c r="G25" s="148">
        <f>G24/G20</f>
        <v>1.1588235294117646E-4</v>
      </c>
      <c r="H25" s="148">
        <f>H24/H20</f>
        <v>1.1588335386962389E-4</v>
      </c>
      <c r="I25" s="148">
        <f>I24/I20</f>
        <v>1.2077294685990338E-4</v>
      </c>
      <c r="J25" s="148">
        <f>J24/J20</f>
        <v>1.2566253985018286E-4</v>
      </c>
      <c r="T25"/>
    </row>
    <row r="26" spans="2:20" ht="15.75" thickBot="1" x14ac:dyDescent="0.3">
      <c r="C26" s="4"/>
      <c r="D26" s="4"/>
      <c r="E26" s="4"/>
      <c r="F26" s="4"/>
      <c r="G26" s="4"/>
      <c r="H26" s="4"/>
      <c r="I26" s="4"/>
      <c r="J26" s="4"/>
      <c r="R26" s="90"/>
      <c r="T26"/>
    </row>
    <row r="27" spans="2:20" x14ac:dyDescent="0.25">
      <c r="B27" s="30" t="s">
        <v>218</v>
      </c>
      <c r="C27" s="52">
        <v>510000000</v>
      </c>
      <c r="D27" s="52">
        <f>C17/C20*20000000+C27</f>
        <v>522000000</v>
      </c>
      <c r="E27" s="52">
        <f t="shared" ref="E27" si="6">D17/D20*20000000+D27</f>
        <v>534000000</v>
      </c>
      <c r="F27" s="52">
        <f>E27</f>
        <v>534000000</v>
      </c>
      <c r="G27" s="52">
        <f>G17/G20*20000000+F27</f>
        <v>545764705.88235295</v>
      </c>
      <c r="H27" s="52">
        <f>G27</f>
        <v>545764705.88235295</v>
      </c>
      <c r="I27" s="52">
        <f>H27</f>
        <v>545764705.88235295</v>
      </c>
      <c r="J27" s="80">
        <f>J17/J20*20000000+I27</f>
        <v>555543891.86291194</v>
      </c>
      <c r="L27" s="25"/>
      <c r="P27" s="25"/>
      <c r="R27" s="90"/>
      <c r="T27"/>
    </row>
    <row r="28" spans="2:20" x14ac:dyDescent="0.25">
      <c r="B28" s="34" t="s">
        <v>219</v>
      </c>
      <c r="C28" s="4"/>
      <c r="D28" s="4">
        <f>C28+C18/C20*20000000</f>
        <v>8000000</v>
      </c>
      <c r="E28" s="4">
        <f t="shared" ref="E28" si="7">D28+D18/D20*20000000</f>
        <v>16000000</v>
      </c>
      <c r="F28" s="4">
        <f>E28</f>
        <v>16000000</v>
      </c>
      <c r="G28" s="4">
        <f>F28+G18/G20*20000000</f>
        <v>24235294.117647059</v>
      </c>
      <c r="H28" s="4">
        <f>G28</f>
        <v>24235294.117647059</v>
      </c>
      <c r="I28" s="4">
        <f>H28+I18/I20*20000000</f>
        <v>31080724.304038346</v>
      </c>
      <c r="J28" s="78">
        <f>I28+J18/J20*20000000</f>
        <v>37926154.490429632</v>
      </c>
      <c r="L28" s="25"/>
      <c r="P28" s="25"/>
      <c r="T28"/>
    </row>
    <row r="29" spans="2:20" x14ac:dyDescent="0.25">
      <c r="B29" s="108" t="s">
        <v>220</v>
      </c>
      <c r="C29" s="109"/>
      <c r="D29" s="109"/>
      <c r="E29" s="109"/>
      <c r="F29" s="109"/>
      <c r="G29" s="109"/>
      <c r="H29" s="109"/>
      <c r="I29" s="4">
        <f>INT(I19)/I20*20000000</f>
        <v>3375383.8330497369</v>
      </c>
      <c r="J29" s="78">
        <f>J19/J20*20000000+I29</f>
        <v>6750767.6660994738</v>
      </c>
      <c r="L29" s="25"/>
      <c r="T29"/>
    </row>
    <row r="30" spans="2:20" ht="15.75" thickBot="1" x14ac:dyDescent="0.3">
      <c r="B30" s="38" t="s">
        <v>261</v>
      </c>
      <c r="C30" s="55">
        <f>SUM(C27:C29)</f>
        <v>510000000</v>
      </c>
      <c r="D30" s="55">
        <f t="shared" ref="D30:J30" si="8">SUM(D27:D29)</f>
        <v>530000000</v>
      </c>
      <c r="E30" s="55">
        <f t="shared" si="8"/>
        <v>550000000</v>
      </c>
      <c r="F30" s="55">
        <f t="shared" si="8"/>
        <v>550000000</v>
      </c>
      <c r="G30" s="55">
        <f t="shared" si="8"/>
        <v>570000000</v>
      </c>
      <c r="H30" s="55">
        <f t="shared" si="8"/>
        <v>570000000</v>
      </c>
      <c r="I30" s="55">
        <f t="shared" si="8"/>
        <v>580220814.01944113</v>
      </c>
      <c r="J30" s="55">
        <f t="shared" si="8"/>
        <v>600220814.01944101</v>
      </c>
      <c r="T30"/>
    </row>
    <row r="31" spans="2:20" x14ac:dyDescent="0.25">
      <c r="B31" s="30" t="s">
        <v>260</v>
      </c>
      <c r="C31" s="52">
        <f>C27</f>
        <v>510000000</v>
      </c>
      <c r="D31" s="52">
        <f>D27-C27</f>
        <v>12000000</v>
      </c>
      <c r="E31" s="52">
        <f t="shared" ref="E31" si="9">E27-D27</f>
        <v>12000000</v>
      </c>
      <c r="F31" s="52">
        <f t="shared" ref="F31:F33" si="10">F27-E27</f>
        <v>0</v>
      </c>
      <c r="G31" s="52">
        <f t="shared" ref="G31:G33" si="11">G27-F27</f>
        <v>11764705.882352948</v>
      </c>
      <c r="H31" s="52">
        <f t="shared" ref="H31:H33" si="12">H27-G27</f>
        <v>0</v>
      </c>
      <c r="I31" s="52">
        <f t="shared" ref="I31:I33" si="13">I27-H27</f>
        <v>0</v>
      </c>
      <c r="J31" s="52">
        <f t="shared" ref="J31:J33" si="14">J27-I27</f>
        <v>9779185.9805589914</v>
      </c>
      <c r="T31"/>
    </row>
    <row r="32" spans="2:20" x14ac:dyDescent="0.25">
      <c r="B32" s="34" t="s">
        <v>262</v>
      </c>
      <c r="C32" s="4">
        <v>0</v>
      </c>
      <c r="D32" s="4">
        <f t="shared" ref="D32:E32" si="15">D28-C28</f>
        <v>8000000</v>
      </c>
      <c r="E32" s="4">
        <f t="shared" si="15"/>
        <v>8000000</v>
      </c>
      <c r="F32" s="4">
        <f t="shared" si="10"/>
        <v>0</v>
      </c>
      <c r="G32" s="4">
        <f t="shared" si="11"/>
        <v>8235294.1176470593</v>
      </c>
      <c r="H32" s="4">
        <f t="shared" si="12"/>
        <v>0</v>
      </c>
      <c r="I32" s="4">
        <f t="shared" si="13"/>
        <v>6845430.1863912866</v>
      </c>
      <c r="J32" s="4">
        <f t="shared" si="14"/>
        <v>6845430.1863912866</v>
      </c>
      <c r="T32"/>
    </row>
    <row r="33" spans="2:20" x14ac:dyDescent="0.25">
      <c r="B33" s="108" t="s">
        <v>263</v>
      </c>
      <c r="C33" s="109"/>
      <c r="D33" s="109">
        <f t="shared" ref="D33:E33" si="16">D29-C29</f>
        <v>0</v>
      </c>
      <c r="E33" s="109">
        <f t="shared" si="16"/>
        <v>0</v>
      </c>
      <c r="F33" s="109">
        <f t="shared" si="10"/>
        <v>0</v>
      </c>
      <c r="G33" s="109">
        <f t="shared" si="11"/>
        <v>0</v>
      </c>
      <c r="H33" s="109">
        <f t="shared" si="12"/>
        <v>0</v>
      </c>
      <c r="I33" s="109">
        <f t="shared" si="13"/>
        <v>3375383.8330497369</v>
      </c>
      <c r="J33" s="109">
        <f t="shared" si="14"/>
        <v>3375383.8330497369</v>
      </c>
      <c r="T33"/>
    </row>
    <row r="34" spans="2:20" ht="15.75" thickBot="1" x14ac:dyDescent="0.3">
      <c r="B34" s="107"/>
      <c r="C34" s="55">
        <f>SUM(C31:C33)</f>
        <v>510000000</v>
      </c>
      <c r="D34" s="111">
        <f t="shared" ref="D34:J34" si="17">SUM(D31:D33)</f>
        <v>20000000</v>
      </c>
      <c r="E34" s="111">
        <f>SUM(E31:E33)</f>
        <v>20000000</v>
      </c>
      <c r="F34" s="111">
        <f t="shared" si="17"/>
        <v>0</v>
      </c>
      <c r="G34" s="111">
        <f t="shared" ref="G34" si="18">SUM(G31:G33)</f>
        <v>20000000.000000007</v>
      </c>
      <c r="H34" s="111">
        <f t="shared" si="17"/>
        <v>0</v>
      </c>
      <c r="I34" s="111"/>
      <c r="J34" s="111">
        <f t="shared" si="17"/>
        <v>20000000.000000015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3"/>
      <c r="F36" s="3"/>
      <c r="G36" s="3"/>
      <c r="H36" s="3"/>
      <c r="I36" s="3"/>
      <c r="J36" s="3"/>
      <c r="T36"/>
    </row>
    <row r="37" spans="2:20" x14ac:dyDescent="0.25">
      <c r="C37" s="4"/>
      <c r="D37" s="4"/>
      <c r="E37" s="4"/>
      <c r="F37" s="4"/>
      <c r="G37" s="4"/>
      <c r="H37" s="4"/>
      <c r="I37" s="4"/>
      <c r="J37" s="4"/>
      <c r="T37"/>
    </row>
    <row r="38" spans="2:20" x14ac:dyDescent="0.25">
      <c r="B38" s="105"/>
      <c r="C38" s="4"/>
      <c r="D38" s="3"/>
      <c r="E38" s="3"/>
      <c r="F38" s="3"/>
      <c r="G38" s="3"/>
      <c r="H38" s="3"/>
      <c r="I38" s="3"/>
      <c r="J38" s="4"/>
      <c r="T38"/>
    </row>
    <row r="39" spans="2:20" x14ac:dyDescent="0.25">
      <c r="B39" s="57"/>
      <c r="C39" s="4"/>
      <c r="D39" s="4"/>
      <c r="E39" s="4"/>
      <c r="F39" s="46"/>
      <c r="G39" s="46"/>
      <c r="H39" s="4"/>
      <c r="I39" s="4"/>
      <c r="J39" s="4"/>
      <c r="T39"/>
    </row>
    <row r="40" spans="2:20" x14ac:dyDescent="0.25">
      <c r="B40" s="106"/>
      <c r="C40" s="4"/>
      <c r="D40" s="4"/>
      <c r="E40" s="77"/>
      <c r="F40" s="46"/>
      <c r="G40" s="46"/>
      <c r="H40" s="4"/>
      <c r="I40" s="4"/>
      <c r="T40"/>
    </row>
    <row r="41" spans="2:20" x14ac:dyDescent="0.25">
      <c r="C41" s="4"/>
      <c r="D41" s="4"/>
      <c r="E41" s="77"/>
      <c r="F41" s="46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46"/>
      <c r="G42" s="46"/>
      <c r="H42" s="4"/>
      <c r="I42" s="4"/>
      <c r="T42"/>
    </row>
    <row r="43" spans="2:20" x14ac:dyDescent="0.25">
      <c r="C43" s="4"/>
      <c r="D43" s="4"/>
      <c r="E43" s="4"/>
      <c r="F43" s="46"/>
      <c r="G43" s="46"/>
      <c r="H43" s="4"/>
      <c r="I43" s="4"/>
      <c r="J43" s="3"/>
      <c r="T43"/>
    </row>
    <row r="44" spans="2:20" x14ac:dyDescent="0.25">
      <c r="B44" s="4"/>
      <c r="C44" s="4"/>
      <c r="D44" s="4"/>
      <c r="E44" s="4"/>
      <c r="F44" s="46"/>
      <c r="G44" s="46"/>
      <c r="H44" s="4"/>
      <c r="I44" s="4"/>
      <c r="J44" s="4"/>
    </row>
    <row r="45" spans="2:20" x14ac:dyDescent="0.25">
      <c r="F45" s="46"/>
      <c r="G45" s="46"/>
    </row>
    <row r="46" spans="2:20" x14ac:dyDescent="0.25">
      <c r="F46" s="46"/>
      <c r="G46" s="46"/>
    </row>
    <row r="47" spans="2:20" x14ac:dyDescent="0.25">
      <c r="B47" s="88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A44" zoomScale="75" zoomScaleNormal="75" workbookViewId="0">
      <selection activeCell="AB77" sqref="AB77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6.85546875" customWidth="1"/>
    <col min="24" max="24" width="8.7109375" customWidth="1"/>
    <col min="25" max="25" width="9.28515625" bestFit="1" customWidth="1"/>
    <col min="26" max="26" width="15.5703125" customWidth="1"/>
    <col min="27" max="27" width="15.85546875" customWidth="1"/>
    <col min="28" max="28" width="16.85546875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</row>
    <row r="2" spans="2:29" x14ac:dyDescent="0.25">
      <c r="I2" t="s">
        <v>264</v>
      </c>
      <c r="O2" t="s">
        <v>100</v>
      </c>
      <c r="S2" t="s">
        <v>101</v>
      </c>
    </row>
    <row r="3" spans="2:29" x14ac:dyDescent="0.25">
      <c r="B3" s="1" t="s">
        <v>55</v>
      </c>
    </row>
    <row r="4" spans="2:29" ht="15.75" thickBot="1" x14ac:dyDescent="0.3">
      <c r="G4" s="2" t="s">
        <v>86</v>
      </c>
      <c r="H4" s="2" t="s">
        <v>87</v>
      </c>
      <c r="I4" s="2" t="s">
        <v>85</v>
      </c>
      <c r="J4" s="2" t="s">
        <v>161</v>
      </c>
      <c r="K4" s="2" t="s">
        <v>162</v>
      </c>
      <c r="L4" s="2" t="s">
        <v>54</v>
      </c>
      <c r="M4" s="2" t="s">
        <v>83</v>
      </c>
      <c r="N4" s="2" t="s">
        <v>84</v>
      </c>
      <c r="O4" s="2" t="s">
        <v>161</v>
      </c>
      <c r="P4" s="2" t="s">
        <v>162</v>
      </c>
      <c r="Q4" s="2" t="s">
        <v>54</v>
      </c>
      <c r="R4" s="2"/>
      <c r="S4" s="2" t="s">
        <v>82</v>
      </c>
      <c r="T4" s="2" t="s">
        <v>114</v>
      </c>
      <c r="U4" s="2" t="s">
        <v>115</v>
      </c>
      <c r="V4" s="2"/>
      <c r="AA4" s="2" t="s">
        <v>163</v>
      </c>
      <c r="AB4" s="2" t="s">
        <v>164</v>
      </c>
    </row>
    <row r="5" spans="2:29" s="154" customFormat="1" x14ac:dyDescent="0.25">
      <c r="B5" s="154" t="s">
        <v>59</v>
      </c>
      <c r="F5" s="154">
        <v>1</v>
      </c>
      <c r="H5" s="154">
        <v>0</v>
      </c>
      <c r="I5" s="155" t="s">
        <v>155</v>
      </c>
      <c r="J5" s="156">
        <v>250</v>
      </c>
      <c r="K5" s="156">
        <v>0</v>
      </c>
      <c r="L5" s="156">
        <v>0</v>
      </c>
      <c r="M5" s="156">
        <f>SUM(J5:L5)</f>
        <v>250</v>
      </c>
      <c r="N5" s="120">
        <v>0</v>
      </c>
      <c r="O5" s="157"/>
      <c r="P5" s="158"/>
      <c r="Q5" s="159"/>
      <c r="X5" s="160" t="s">
        <v>190</v>
      </c>
      <c r="Y5" s="160" t="s">
        <v>85</v>
      </c>
      <c r="Z5" s="160" t="s">
        <v>150</v>
      </c>
      <c r="AA5" s="160" t="s">
        <v>165</v>
      </c>
      <c r="AB5" s="160"/>
      <c r="AC5" s="161"/>
    </row>
    <row r="6" spans="2:29" s="154" customFormat="1" ht="15.75" thickBot="1" x14ac:dyDescent="0.3">
      <c r="C6" s="154" t="s">
        <v>57</v>
      </c>
      <c r="G6" s="162">
        <v>2</v>
      </c>
      <c r="H6" s="162">
        <f>G6*0.05</f>
        <v>0.1</v>
      </c>
      <c r="I6" s="163">
        <v>1</v>
      </c>
      <c r="J6" s="115">
        <v>250</v>
      </c>
      <c r="K6" s="115">
        <v>0</v>
      </c>
      <c r="L6" s="115">
        <v>0</v>
      </c>
      <c r="M6" s="115">
        <f t="shared" ref="M6:M14" si="0">SUM(J6:L6)</f>
        <v>250</v>
      </c>
      <c r="N6" s="116">
        <f>H6/M6</f>
        <v>4.0000000000000002E-4</v>
      </c>
      <c r="O6" s="117">
        <f>S6*$H6</f>
        <v>0.1</v>
      </c>
      <c r="P6" s="118">
        <f>T6*$H6</f>
        <v>0</v>
      </c>
      <c r="Q6" s="119">
        <f>U6*$H6</f>
        <v>0</v>
      </c>
      <c r="S6" s="164">
        <f>J6/$M6</f>
        <v>1</v>
      </c>
      <c r="T6" s="164">
        <f>K6/$M6</f>
        <v>0</v>
      </c>
      <c r="U6" s="164">
        <f>L6/$M6</f>
        <v>0</v>
      </c>
      <c r="V6" s="164">
        <f>SUM(S6:U6)</f>
        <v>1</v>
      </c>
      <c r="Z6" s="165"/>
      <c r="AB6" s="166"/>
      <c r="AC6" s="161" t="s">
        <v>270</v>
      </c>
    </row>
    <row r="7" spans="2:29" s="154" customFormat="1" x14ac:dyDescent="0.25">
      <c r="C7" s="154" t="s">
        <v>58</v>
      </c>
      <c r="F7" s="154">
        <v>2</v>
      </c>
      <c r="G7" s="167"/>
      <c r="H7" s="167">
        <v>1</v>
      </c>
      <c r="I7" s="155" t="s">
        <v>156</v>
      </c>
      <c r="J7" s="156">
        <v>250</v>
      </c>
      <c r="K7" s="156">
        <v>150</v>
      </c>
      <c r="L7" s="156">
        <v>0</v>
      </c>
      <c r="M7" s="156">
        <f t="shared" si="0"/>
        <v>400</v>
      </c>
      <c r="N7" s="120">
        <f>N6</f>
        <v>4.0000000000000002E-4</v>
      </c>
      <c r="O7" s="121"/>
      <c r="P7" s="122"/>
      <c r="Q7" s="123"/>
      <c r="S7" s="164">
        <f t="shared" ref="S7:U14" si="1">J7/$M7</f>
        <v>0.625</v>
      </c>
      <c r="T7" s="164">
        <f t="shared" si="1"/>
        <v>0.375</v>
      </c>
      <c r="U7" s="164">
        <f t="shared" si="1"/>
        <v>0</v>
      </c>
      <c r="V7" s="164">
        <f t="shared" ref="V7:V14" si="2">SUM(S7:U7)</f>
        <v>1</v>
      </c>
      <c r="X7" s="154">
        <v>1</v>
      </c>
      <c r="Y7" s="154">
        <v>5</v>
      </c>
      <c r="Z7" s="165">
        <v>150000000</v>
      </c>
      <c r="AA7" s="168">
        <f>(P8+P10+P12)*1000</f>
        <v>97.5</v>
      </c>
      <c r="AB7" s="166">
        <f>Z7*INT((N12-N6)*C21)/1000000000000</f>
        <v>97.5</v>
      </c>
      <c r="AC7" s="161" t="s">
        <v>270</v>
      </c>
    </row>
    <row r="8" spans="2:29" s="154" customFormat="1" ht="15.75" thickBot="1" x14ac:dyDescent="0.3">
      <c r="C8" s="154" t="s">
        <v>56</v>
      </c>
      <c r="G8" s="162">
        <v>2</v>
      </c>
      <c r="H8" s="162">
        <f>G8*0.05</f>
        <v>0.1</v>
      </c>
      <c r="I8" s="163">
        <v>2</v>
      </c>
      <c r="J8" s="115">
        <v>250</v>
      </c>
      <c r="K8" s="115">
        <v>150</v>
      </c>
      <c r="L8" s="115">
        <v>0</v>
      </c>
      <c r="M8" s="115">
        <f t="shared" si="0"/>
        <v>400</v>
      </c>
      <c r="N8" s="116">
        <f>H8/M8+N6</f>
        <v>6.4999999999999997E-4</v>
      </c>
      <c r="O8" s="117">
        <f>S8*$H8</f>
        <v>6.25E-2</v>
      </c>
      <c r="P8" s="118">
        <f>T8*$H8</f>
        <v>3.7500000000000006E-2</v>
      </c>
      <c r="Q8" s="119">
        <f>U8*$H8</f>
        <v>0</v>
      </c>
      <c r="S8" s="164">
        <f t="shared" si="1"/>
        <v>0.625</v>
      </c>
      <c r="T8" s="164">
        <f t="shared" si="1"/>
        <v>0.375</v>
      </c>
      <c r="U8" s="164">
        <f t="shared" si="1"/>
        <v>0</v>
      </c>
      <c r="V8" s="164">
        <f t="shared" si="2"/>
        <v>1</v>
      </c>
      <c r="X8" s="154">
        <v>0</v>
      </c>
      <c r="Y8" s="154">
        <v>6</v>
      </c>
      <c r="Z8" s="165">
        <v>250000000</v>
      </c>
      <c r="AA8" s="168">
        <f>SUM(O6:O14)*1000</f>
        <v>333.92857142857144</v>
      </c>
      <c r="AB8" s="166">
        <f>Z8*INT((N14-N5)*C22)/1000000000000</f>
        <v>333.92849999999999</v>
      </c>
      <c r="AC8" s="161" t="s">
        <v>270</v>
      </c>
    </row>
    <row r="9" spans="2:29" s="154" customFormat="1" ht="15.75" thickBot="1" x14ac:dyDescent="0.3">
      <c r="F9" s="154">
        <v>3</v>
      </c>
      <c r="G9" s="167"/>
      <c r="H9" s="167">
        <v>1</v>
      </c>
      <c r="I9" s="155" t="s">
        <v>157</v>
      </c>
      <c r="J9" s="156">
        <v>250</v>
      </c>
      <c r="K9" s="156">
        <v>150</v>
      </c>
      <c r="L9" s="156">
        <v>100</v>
      </c>
      <c r="M9" s="156">
        <f t="shared" si="0"/>
        <v>500</v>
      </c>
      <c r="N9" s="120">
        <f>N8</f>
        <v>6.4999999999999997E-4</v>
      </c>
      <c r="O9" s="121"/>
      <c r="P9" s="122"/>
      <c r="Q9" s="123"/>
      <c r="S9" s="164">
        <f t="shared" si="1"/>
        <v>0.5</v>
      </c>
      <c r="T9" s="164">
        <f t="shared" si="1"/>
        <v>0.3</v>
      </c>
      <c r="U9" s="164">
        <f t="shared" si="1"/>
        <v>0.2</v>
      </c>
      <c r="V9" s="164">
        <f t="shared" si="2"/>
        <v>1</v>
      </c>
      <c r="X9" s="154">
        <v>2</v>
      </c>
      <c r="Y9" s="154">
        <v>6</v>
      </c>
      <c r="Z9" s="165">
        <v>100000000</v>
      </c>
      <c r="AA9" s="169">
        <f>(Q10+Q12+Q14)*1000</f>
        <v>68.571428571428569</v>
      </c>
      <c r="AB9" s="166">
        <f>Z9*INT((N14-N8)*C23)/1000000000000</f>
        <v>68.571399999999997</v>
      </c>
      <c r="AC9" s="161" t="s">
        <v>270</v>
      </c>
    </row>
    <row r="10" spans="2:29" s="154" customFormat="1" ht="15.75" thickBot="1" x14ac:dyDescent="0.3">
      <c r="G10" s="162">
        <v>2</v>
      </c>
      <c r="H10" s="162">
        <f>G10*0.05</f>
        <v>0.1</v>
      </c>
      <c r="I10" s="163">
        <v>3</v>
      </c>
      <c r="J10" s="115">
        <v>250</v>
      </c>
      <c r="K10" s="115">
        <v>150</v>
      </c>
      <c r="L10" s="115">
        <v>100</v>
      </c>
      <c r="M10" s="115">
        <f t="shared" si="0"/>
        <v>500</v>
      </c>
      <c r="N10" s="116">
        <f>H10/M10+N8</f>
        <v>8.4999999999999995E-4</v>
      </c>
      <c r="O10" s="117">
        <f>S10*$H10</f>
        <v>0.05</v>
      </c>
      <c r="P10" s="118">
        <f>T10*$H10</f>
        <v>0.03</v>
      </c>
      <c r="Q10" s="119">
        <f>U10*$H10</f>
        <v>2.0000000000000004E-2</v>
      </c>
      <c r="S10" s="164">
        <f t="shared" si="1"/>
        <v>0.5</v>
      </c>
      <c r="T10" s="164">
        <f t="shared" si="1"/>
        <v>0.3</v>
      </c>
      <c r="U10" s="164">
        <f t="shared" si="1"/>
        <v>0.2</v>
      </c>
      <c r="V10" s="164">
        <f t="shared" si="2"/>
        <v>1</v>
      </c>
      <c r="Z10" s="165">
        <v>99999999</v>
      </c>
      <c r="AA10" s="166">
        <f>SUM(AA6:AA9)</f>
        <v>500</v>
      </c>
      <c r="AB10" s="170"/>
      <c r="AC10" s="161" t="s">
        <v>270</v>
      </c>
    </row>
    <row r="11" spans="2:29" s="154" customFormat="1" ht="15.75" thickBot="1" x14ac:dyDescent="0.3">
      <c r="B11" s="154" t="s">
        <v>85</v>
      </c>
      <c r="F11" s="154">
        <v>4</v>
      </c>
      <c r="G11" s="167"/>
      <c r="H11" s="167">
        <v>3</v>
      </c>
      <c r="I11" s="155" t="s">
        <v>158</v>
      </c>
      <c r="J11" s="115">
        <v>250</v>
      </c>
      <c r="K11" s="156">
        <v>150</v>
      </c>
      <c r="L11" s="156">
        <v>100</v>
      </c>
      <c r="M11" s="156">
        <f t="shared" si="0"/>
        <v>500</v>
      </c>
      <c r="N11" s="120">
        <f>N10</f>
        <v>8.4999999999999995E-4</v>
      </c>
      <c r="O11" s="121"/>
      <c r="P11" s="122"/>
      <c r="Q11" s="123"/>
      <c r="S11" s="164">
        <f t="shared" si="1"/>
        <v>0.5</v>
      </c>
      <c r="T11" s="164">
        <f t="shared" si="1"/>
        <v>0.3</v>
      </c>
      <c r="U11" s="164">
        <f t="shared" si="1"/>
        <v>0.2</v>
      </c>
      <c r="V11" s="164">
        <f t="shared" si="2"/>
        <v>1</v>
      </c>
      <c r="AC11" s="161" t="s">
        <v>270</v>
      </c>
    </row>
    <row r="12" spans="2:29" s="154" customFormat="1" ht="15.75" thickBot="1" x14ac:dyDescent="0.3">
      <c r="B12" s="154">
        <v>1</v>
      </c>
      <c r="C12" s="154" t="s">
        <v>99</v>
      </c>
      <c r="G12" s="162">
        <v>2</v>
      </c>
      <c r="H12" s="162">
        <f>G12*0.05</f>
        <v>0.1</v>
      </c>
      <c r="I12" s="163">
        <v>4</v>
      </c>
      <c r="J12" s="115">
        <v>250</v>
      </c>
      <c r="K12" s="115">
        <v>150</v>
      </c>
      <c r="L12" s="115">
        <v>100</v>
      </c>
      <c r="M12" s="115">
        <f t="shared" si="0"/>
        <v>500</v>
      </c>
      <c r="N12" s="116">
        <f>(H12)/M12+N10</f>
        <v>1.0499999999999999E-3</v>
      </c>
      <c r="O12" s="171">
        <f>S12*$H12</f>
        <v>0.05</v>
      </c>
      <c r="P12" s="118">
        <f>T12*$H12</f>
        <v>0.03</v>
      </c>
      <c r="Q12" s="119">
        <f>U12*$H12</f>
        <v>2.0000000000000004E-2</v>
      </c>
      <c r="S12" s="164">
        <f t="shared" si="1"/>
        <v>0.5</v>
      </c>
      <c r="T12" s="164">
        <f t="shared" si="1"/>
        <v>0.3</v>
      </c>
      <c r="U12" s="164">
        <f t="shared" si="1"/>
        <v>0.2</v>
      </c>
      <c r="V12" s="164">
        <f t="shared" si="2"/>
        <v>1</v>
      </c>
      <c r="AA12" s="167">
        <f>AA8+AA6</f>
        <v>333.92857142857144</v>
      </c>
      <c r="AC12" s="161" t="s">
        <v>270</v>
      </c>
    </row>
    <row r="13" spans="2:29" s="154" customFormat="1" ht="15.75" thickBot="1" x14ac:dyDescent="0.3">
      <c r="B13" s="154">
        <v>2</v>
      </c>
      <c r="C13" s="154" t="s">
        <v>98</v>
      </c>
      <c r="F13" s="154">
        <v>5</v>
      </c>
      <c r="G13" s="167"/>
      <c r="H13" s="167">
        <v>4</v>
      </c>
      <c r="I13" s="155" t="s">
        <v>159</v>
      </c>
      <c r="J13" s="115">
        <v>250</v>
      </c>
      <c r="K13" s="156">
        <v>0</v>
      </c>
      <c r="L13" s="156">
        <v>100</v>
      </c>
      <c r="M13" s="156">
        <f t="shared" si="0"/>
        <v>350</v>
      </c>
      <c r="N13" s="120">
        <f>N12</f>
        <v>1.0499999999999999E-3</v>
      </c>
      <c r="O13" s="172"/>
      <c r="P13" s="122"/>
      <c r="Q13" s="123"/>
      <c r="S13" s="164">
        <f t="shared" si="1"/>
        <v>0.7142857142857143</v>
      </c>
      <c r="T13" s="164">
        <f t="shared" si="1"/>
        <v>0</v>
      </c>
      <c r="U13" s="164">
        <f t="shared" si="1"/>
        <v>0.2857142857142857</v>
      </c>
      <c r="V13" s="164">
        <f t="shared" si="2"/>
        <v>1</v>
      </c>
      <c r="AC13" s="161" t="s">
        <v>270</v>
      </c>
    </row>
    <row r="14" spans="2:29" s="154" customFormat="1" ht="15.75" thickBot="1" x14ac:dyDescent="0.3">
      <c r="B14" s="154">
        <v>3</v>
      </c>
      <c r="C14" s="154" t="s">
        <v>97</v>
      </c>
      <c r="G14" s="162">
        <v>2</v>
      </c>
      <c r="H14" s="162">
        <f>G14*0.05</f>
        <v>0.1</v>
      </c>
      <c r="I14" s="163">
        <v>5</v>
      </c>
      <c r="J14" s="115">
        <v>250</v>
      </c>
      <c r="K14" s="115">
        <v>0</v>
      </c>
      <c r="L14" s="115">
        <v>100</v>
      </c>
      <c r="M14" s="115">
        <f t="shared" si="0"/>
        <v>350</v>
      </c>
      <c r="N14" s="116">
        <f>H14/M14+N12</f>
        <v>1.3357142857142856E-3</v>
      </c>
      <c r="O14" s="171">
        <f>S14*$H14</f>
        <v>7.1428571428571438E-2</v>
      </c>
      <c r="P14" s="118">
        <f>T14*$H14</f>
        <v>0</v>
      </c>
      <c r="Q14" s="119">
        <f>U14*$H14</f>
        <v>2.8571428571428571E-2</v>
      </c>
      <c r="S14" s="164">
        <f t="shared" si="1"/>
        <v>0.7142857142857143</v>
      </c>
      <c r="T14" s="164">
        <f t="shared" si="1"/>
        <v>0</v>
      </c>
      <c r="U14" s="164">
        <f t="shared" si="1"/>
        <v>0.2857142857142857</v>
      </c>
      <c r="V14" s="164">
        <f t="shared" si="2"/>
        <v>1</v>
      </c>
      <c r="AC14" s="161"/>
    </row>
    <row r="15" spans="2:29" s="154" customFormat="1" x14ac:dyDescent="0.25">
      <c r="B15" s="154">
        <v>4</v>
      </c>
      <c r="C15" s="154" t="s">
        <v>166</v>
      </c>
      <c r="F15" s="154">
        <v>6</v>
      </c>
      <c r="G15" s="167"/>
      <c r="H15" s="167">
        <v>5</v>
      </c>
      <c r="I15" s="160" t="s">
        <v>160</v>
      </c>
      <c r="J15" s="165">
        <v>0</v>
      </c>
      <c r="K15" s="165">
        <v>0</v>
      </c>
      <c r="L15" s="165">
        <v>0</v>
      </c>
      <c r="M15" s="165">
        <v>0</v>
      </c>
      <c r="N15" s="173">
        <f>N14</f>
        <v>1.3357142857142856E-3</v>
      </c>
      <c r="AC15" s="161"/>
    </row>
    <row r="16" spans="2:29" x14ac:dyDescent="0.25">
      <c r="B16" s="1">
        <v>5</v>
      </c>
      <c r="C16" t="s">
        <v>95</v>
      </c>
      <c r="G16" s="8"/>
      <c r="H16" s="8"/>
      <c r="I16" s="2"/>
      <c r="J16" s="4"/>
      <c r="K16" s="4"/>
      <c r="L16" s="4"/>
      <c r="M16" s="4"/>
      <c r="N16" s="89"/>
    </row>
    <row r="17" spans="2:29" x14ac:dyDescent="0.25">
      <c r="B17" s="1">
        <v>6</v>
      </c>
      <c r="C17" t="s">
        <v>94</v>
      </c>
      <c r="G17" t="s">
        <v>266</v>
      </c>
      <c r="I17" t="s">
        <v>265</v>
      </c>
      <c r="O17" t="s">
        <v>100</v>
      </c>
      <c r="S17" t="s">
        <v>101</v>
      </c>
    </row>
    <row r="18" spans="2:29" x14ac:dyDescent="0.25">
      <c r="C18" t="s">
        <v>93</v>
      </c>
    </row>
    <row r="19" spans="2:29" s="174" customFormat="1" ht="15.75" thickBot="1" x14ac:dyDescent="0.3">
      <c r="G19" s="175" t="s">
        <v>86</v>
      </c>
      <c r="H19" s="175" t="s">
        <v>87</v>
      </c>
      <c r="I19" s="175" t="s">
        <v>85</v>
      </c>
      <c r="J19" s="175" t="s">
        <v>161</v>
      </c>
      <c r="K19" s="175" t="s">
        <v>162</v>
      </c>
      <c r="L19" s="175" t="s">
        <v>54</v>
      </c>
      <c r="M19" s="175" t="s">
        <v>83</v>
      </c>
      <c r="N19" s="175" t="s">
        <v>84</v>
      </c>
      <c r="O19" s="175" t="s">
        <v>161</v>
      </c>
      <c r="P19" s="175" t="s">
        <v>162</v>
      </c>
      <c r="Q19" s="175" t="s">
        <v>54</v>
      </c>
      <c r="R19" s="175"/>
      <c r="S19" s="175" t="s">
        <v>82</v>
      </c>
      <c r="T19" s="175" t="s">
        <v>114</v>
      </c>
      <c r="U19" s="175" t="s">
        <v>115</v>
      </c>
      <c r="V19" s="175"/>
      <c r="AA19" s="175" t="s">
        <v>163</v>
      </c>
      <c r="AB19" s="175"/>
      <c r="AC19" s="176" t="s">
        <v>269</v>
      </c>
    </row>
    <row r="20" spans="2:29" s="174" customFormat="1" ht="15.75" thickBot="1" x14ac:dyDescent="0.3">
      <c r="B20" s="174">
        <v>250000000</v>
      </c>
      <c r="C20" s="177">
        <v>1000000000</v>
      </c>
      <c r="F20" s="174">
        <v>1</v>
      </c>
      <c r="H20" s="174">
        <v>0</v>
      </c>
      <c r="I20" s="178" t="s">
        <v>155</v>
      </c>
      <c r="J20" s="179">
        <v>250</v>
      </c>
      <c r="K20" s="179">
        <v>0</v>
      </c>
      <c r="L20" s="179">
        <v>0</v>
      </c>
      <c r="M20" s="179">
        <f>SUM(J20:L20)</f>
        <v>250</v>
      </c>
      <c r="N20" s="180">
        <v>0</v>
      </c>
      <c r="O20" s="181"/>
      <c r="P20" s="182"/>
      <c r="Q20" s="183"/>
      <c r="X20" s="175" t="s">
        <v>190</v>
      </c>
      <c r="Y20" s="175" t="s">
        <v>85</v>
      </c>
      <c r="Z20" s="175" t="s">
        <v>150</v>
      </c>
      <c r="AA20" s="175" t="s">
        <v>165</v>
      </c>
      <c r="AB20" s="175"/>
      <c r="AC20" s="176" t="s">
        <v>269</v>
      </c>
    </row>
    <row r="21" spans="2:29" s="174" customFormat="1" ht="15.75" thickBot="1" x14ac:dyDescent="0.3">
      <c r="B21" s="174">
        <v>150000000</v>
      </c>
      <c r="C21" s="177">
        <v>1000000000</v>
      </c>
      <c r="G21" s="184">
        <v>2</v>
      </c>
      <c r="H21" s="184">
        <f>G21*0.05</f>
        <v>0.1</v>
      </c>
      <c r="I21" s="185">
        <v>1</v>
      </c>
      <c r="J21" s="186">
        <v>250</v>
      </c>
      <c r="K21" s="186">
        <v>0</v>
      </c>
      <c r="L21" s="186">
        <v>0</v>
      </c>
      <c r="M21" s="186">
        <f t="shared" ref="M21:M29" si="3">SUM(J21:L21)</f>
        <v>250</v>
      </c>
      <c r="N21" s="187">
        <f>H21/M21</f>
        <v>4.0000000000000002E-4</v>
      </c>
      <c r="O21" s="188">
        <f>S21*$H21</f>
        <v>0.1</v>
      </c>
      <c r="P21" s="189">
        <f>T21*$H21</f>
        <v>0</v>
      </c>
      <c r="Q21" s="190">
        <f>U21*$H21</f>
        <v>0</v>
      </c>
      <c r="S21" s="191">
        <f>J21/$M21</f>
        <v>1</v>
      </c>
      <c r="T21" s="191">
        <f>K21/$M21</f>
        <v>0</v>
      </c>
      <c r="U21" s="191">
        <f>L21/$M21</f>
        <v>0</v>
      </c>
      <c r="V21" s="191">
        <f>SUM(S21:U21)</f>
        <v>1</v>
      </c>
      <c r="X21" s="174">
        <v>0</v>
      </c>
      <c r="Y21" s="174">
        <v>4</v>
      </c>
      <c r="Z21" s="192">
        <v>250000000</v>
      </c>
      <c r="AA21" s="193">
        <f>(O21+O23+O25)*1000</f>
        <v>212.50000000000003</v>
      </c>
      <c r="AB21" s="194"/>
      <c r="AC21" s="176" t="s">
        <v>269</v>
      </c>
    </row>
    <row r="22" spans="2:29" s="174" customFormat="1" x14ac:dyDescent="0.25">
      <c r="B22" s="174">
        <v>200000000</v>
      </c>
      <c r="C22" s="177">
        <v>1000000000</v>
      </c>
      <c r="F22" s="174">
        <v>2</v>
      </c>
      <c r="G22" s="195"/>
      <c r="H22" s="195">
        <v>1</v>
      </c>
      <c r="I22" s="178" t="s">
        <v>156</v>
      </c>
      <c r="J22" s="179">
        <v>250</v>
      </c>
      <c r="K22" s="179">
        <v>150</v>
      </c>
      <c r="L22" s="179">
        <v>0</v>
      </c>
      <c r="M22" s="179">
        <f t="shared" si="3"/>
        <v>400</v>
      </c>
      <c r="N22" s="180">
        <f>N21</f>
        <v>4.0000000000000002E-4</v>
      </c>
      <c r="O22" s="196"/>
      <c r="P22" s="197"/>
      <c r="Q22" s="198"/>
      <c r="S22" s="191">
        <f t="shared" ref="S22:S29" si="4">J22/$M22</f>
        <v>0.625</v>
      </c>
      <c r="T22" s="191">
        <f t="shared" ref="T22:T29" si="5">K22/$M22</f>
        <v>0.375</v>
      </c>
      <c r="U22" s="191">
        <f t="shared" ref="U22:U29" si="6">L22/$M22</f>
        <v>0</v>
      </c>
      <c r="V22" s="191">
        <f t="shared" ref="V22:V29" si="7">SUM(S22:U22)</f>
        <v>1</v>
      </c>
      <c r="X22" s="174">
        <v>1</v>
      </c>
      <c r="Y22" s="174">
        <v>5</v>
      </c>
      <c r="Z22" s="192">
        <v>150000000</v>
      </c>
      <c r="AA22" s="199">
        <f>(P23+P25+P27)*1000</f>
        <v>100.83333333333333</v>
      </c>
      <c r="AB22" s="194"/>
      <c r="AC22" s="176" t="s">
        <v>269</v>
      </c>
    </row>
    <row r="23" spans="2:29" s="174" customFormat="1" ht="15.75" thickBot="1" x14ac:dyDescent="0.3">
      <c r="B23" s="174">
        <v>100000000</v>
      </c>
      <c r="C23" s="177">
        <v>1000000000</v>
      </c>
      <c r="G23" s="184">
        <v>2</v>
      </c>
      <c r="H23" s="184">
        <f>G23*0.05</f>
        <v>0.1</v>
      </c>
      <c r="I23" s="185">
        <v>2</v>
      </c>
      <c r="J23" s="186">
        <v>250</v>
      </c>
      <c r="K23" s="186">
        <v>150</v>
      </c>
      <c r="L23" s="186">
        <v>0</v>
      </c>
      <c r="M23" s="186">
        <f t="shared" si="3"/>
        <v>400</v>
      </c>
      <c r="N23" s="187">
        <f>H23/M23+N21</f>
        <v>6.4999999999999997E-4</v>
      </c>
      <c r="O23" s="188">
        <f>S23*$H23</f>
        <v>6.25E-2</v>
      </c>
      <c r="P23" s="189">
        <f>T23*$H23</f>
        <v>3.7500000000000006E-2</v>
      </c>
      <c r="Q23" s="190">
        <f>U23*$H23</f>
        <v>0</v>
      </c>
      <c r="S23" s="191">
        <f t="shared" si="4"/>
        <v>0.625</v>
      </c>
      <c r="T23" s="191">
        <f t="shared" si="5"/>
        <v>0.375</v>
      </c>
      <c r="U23" s="191">
        <f t="shared" si="6"/>
        <v>0</v>
      </c>
      <c r="V23" s="191">
        <f t="shared" si="7"/>
        <v>1</v>
      </c>
      <c r="X23" s="174">
        <v>0</v>
      </c>
      <c r="Y23" s="174">
        <v>6</v>
      </c>
      <c r="Z23" s="192">
        <v>200000000</v>
      </c>
      <c r="AA23" s="199">
        <f>(O27+O29)*1000</f>
        <v>111.1111111111111</v>
      </c>
      <c r="AB23" s="194"/>
      <c r="AC23" s="176" t="s">
        <v>269</v>
      </c>
    </row>
    <row r="24" spans="2:29" s="174" customFormat="1" ht="15.75" thickBot="1" x14ac:dyDescent="0.3">
      <c r="F24" s="174">
        <v>3</v>
      </c>
      <c r="G24" s="195"/>
      <c r="H24" s="195">
        <v>1</v>
      </c>
      <c r="I24" s="178" t="s">
        <v>157</v>
      </c>
      <c r="J24" s="179">
        <v>250</v>
      </c>
      <c r="K24" s="179">
        <v>150</v>
      </c>
      <c r="L24" s="179">
        <v>100</v>
      </c>
      <c r="M24" s="179">
        <f t="shared" si="3"/>
        <v>500</v>
      </c>
      <c r="N24" s="180">
        <f>N23</f>
        <v>6.4999999999999997E-4</v>
      </c>
      <c r="O24" s="196"/>
      <c r="P24" s="197"/>
      <c r="Q24" s="198"/>
      <c r="S24" s="191">
        <f t="shared" si="4"/>
        <v>0.5</v>
      </c>
      <c r="T24" s="191">
        <f t="shared" si="5"/>
        <v>0.3</v>
      </c>
      <c r="U24" s="191">
        <f t="shared" si="6"/>
        <v>0.2</v>
      </c>
      <c r="V24" s="191">
        <f t="shared" si="7"/>
        <v>1</v>
      </c>
      <c r="X24" s="174">
        <v>2</v>
      </c>
      <c r="Y24" s="174">
        <v>6</v>
      </c>
      <c r="Z24" s="192">
        <v>100000000</v>
      </c>
      <c r="AA24" s="200">
        <f>(Q25+Q27+Q29)*1000</f>
        <v>75.555555555555571</v>
      </c>
      <c r="AB24" s="194"/>
      <c r="AC24" s="176" t="s">
        <v>269</v>
      </c>
    </row>
    <row r="25" spans="2:29" s="174" customFormat="1" ht="15.75" thickBot="1" x14ac:dyDescent="0.3">
      <c r="D25" s="174">
        <v>25</v>
      </c>
      <c r="G25" s="184">
        <v>2</v>
      </c>
      <c r="H25" s="184">
        <f>G25*0.05</f>
        <v>0.1</v>
      </c>
      <c r="I25" s="185">
        <v>3</v>
      </c>
      <c r="J25" s="186">
        <v>250</v>
      </c>
      <c r="K25" s="186">
        <v>150</v>
      </c>
      <c r="L25" s="186">
        <v>100</v>
      </c>
      <c r="M25" s="186">
        <f t="shared" si="3"/>
        <v>500</v>
      </c>
      <c r="N25" s="187">
        <f>H25/M25+N23</f>
        <v>8.4999999999999995E-4</v>
      </c>
      <c r="O25" s="188">
        <f>S25*$H25</f>
        <v>0.05</v>
      </c>
      <c r="P25" s="189">
        <f>T25*$H25</f>
        <v>0.03</v>
      </c>
      <c r="Q25" s="190">
        <f>U25*$H25</f>
        <v>2.0000000000000004E-2</v>
      </c>
      <c r="S25" s="191">
        <f t="shared" si="4"/>
        <v>0.5</v>
      </c>
      <c r="T25" s="191">
        <f t="shared" si="5"/>
        <v>0.3</v>
      </c>
      <c r="U25" s="191">
        <f t="shared" si="6"/>
        <v>0.2</v>
      </c>
      <c r="V25" s="191">
        <f t="shared" si="7"/>
        <v>1</v>
      </c>
      <c r="Z25" s="192">
        <v>99999999</v>
      </c>
      <c r="AA25" s="194">
        <f>SUM(AA21:AA24)</f>
        <v>500</v>
      </c>
      <c r="AB25" s="201"/>
      <c r="AC25" s="176" t="s">
        <v>269</v>
      </c>
    </row>
    <row r="26" spans="2:29" s="174" customFormat="1" x14ac:dyDescent="0.25">
      <c r="D26" s="174">
        <f>0.8*D25</f>
        <v>20</v>
      </c>
      <c r="F26" s="174">
        <v>4</v>
      </c>
      <c r="G26" s="195"/>
      <c r="H26" s="195">
        <v>3</v>
      </c>
      <c r="I26" s="178" t="s">
        <v>158</v>
      </c>
      <c r="J26" s="179">
        <v>200</v>
      </c>
      <c r="K26" s="179">
        <v>150</v>
      </c>
      <c r="L26" s="179">
        <v>100</v>
      </c>
      <c r="M26" s="179">
        <f t="shared" si="3"/>
        <v>450</v>
      </c>
      <c r="N26" s="180">
        <f>N25</f>
        <v>8.4999999999999995E-4</v>
      </c>
      <c r="O26" s="196"/>
      <c r="P26" s="197"/>
      <c r="Q26" s="198"/>
      <c r="S26" s="191">
        <f t="shared" si="4"/>
        <v>0.44444444444444442</v>
      </c>
      <c r="T26" s="191">
        <f t="shared" si="5"/>
        <v>0.33333333333333331</v>
      </c>
      <c r="U26" s="191">
        <f t="shared" si="6"/>
        <v>0.22222222222222221</v>
      </c>
      <c r="V26" s="191">
        <f t="shared" si="7"/>
        <v>0.99999999999999989</v>
      </c>
      <c r="AC26" s="176" t="s">
        <v>269</v>
      </c>
    </row>
    <row r="27" spans="2:29" s="174" customFormat="1" ht="15.75" thickBot="1" x14ac:dyDescent="0.3">
      <c r="D27" s="174">
        <f>0.05*D26</f>
        <v>1</v>
      </c>
      <c r="G27" s="184">
        <v>2</v>
      </c>
      <c r="H27" s="184">
        <f>G27*0.05</f>
        <v>0.1</v>
      </c>
      <c r="I27" s="185">
        <v>4</v>
      </c>
      <c r="J27" s="186">
        <v>200</v>
      </c>
      <c r="K27" s="186">
        <v>150</v>
      </c>
      <c r="L27" s="186">
        <v>100</v>
      </c>
      <c r="M27" s="186">
        <f t="shared" si="3"/>
        <v>450</v>
      </c>
      <c r="N27" s="187">
        <f>(H27)/M27+N25</f>
        <v>1.0722222222222222E-3</v>
      </c>
      <c r="O27" s="202">
        <f>S27*$H27</f>
        <v>4.4444444444444446E-2</v>
      </c>
      <c r="P27" s="189">
        <f>T27*$H27</f>
        <v>3.3333333333333333E-2</v>
      </c>
      <c r="Q27" s="190">
        <f>U27*$H27</f>
        <v>2.2222222222222223E-2</v>
      </c>
      <c r="S27" s="191">
        <f t="shared" si="4"/>
        <v>0.44444444444444442</v>
      </c>
      <c r="T27" s="191">
        <f t="shared" si="5"/>
        <v>0.33333333333333331</v>
      </c>
      <c r="U27" s="191">
        <f t="shared" si="6"/>
        <v>0.22222222222222221</v>
      </c>
      <c r="V27" s="191">
        <f t="shared" si="7"/>
        <v>0.99999999999999989</v>
      </c>
      <c r="AC27" s="176" t="s">
        <v>269</v>
      </c>
    </row>
    <row r="28" spans="2:29" s="174" customFormat="1" x14ac:dyDescent="0.25">
      <c r="D28" s="103"/>
      <c r="E28" s="203"/>
      <c r="F28" s="174">
        <v>5</v>
      </c>
      <c r="G28" s="195"/>
      <c r="H28" s="195">
        <v>4</v>
      </c>
      <c r="I28" s="178" t="s">
        <v>159</v>
      </c>
      <c r="J28" s="179">
        <v>200</v>
      </c>
      <c r="K28" s="179">
        <v>0</v>
      </c>
      <c r="L28" s="179">
        <v>100</v>
      </c>
      <c r="M28" s="179">
        <f t="shared" si="3"/>
        <v>300</v>
      </c>
      <c r="N28" s="180">
        <f>N27</f>
        <v>1.0722222222222222E-3</v>
      </c>
      <c r="O28" s="204"/>
      <c r="P28" s="197"/>
      <c r="Q28" s="198"/>
      <c r="S28" s="191">
        <f t="shared" si="4"/>
        <v>0.66666666666666663</v>
      </c>
      <c r="T28" s="191">
        <f t="shared" si="5"/>
        <v>0</v>
      </c>
      <c r="U28" s="191">
        <f t="shared" si="6"/>
        <v>0.33333333333333331</v>
      </c>
      <c r="V28" s="191">
        <f t="shared" si="7"/>
        <v>1</v>
      </c>
      <c r="AC28" s="176" t="s">
        <v>269</v>
      </c>
    </row>
    <row r="29" spans="2:29" s="174" customFormat="1" ht="15.75" thickBot="1" x14ac:dyDescent="0.3">
      <c r="C29" s="205"/>
      <c r="E29" s="203"/>
      <c r="G29" s="184">
        <v>2</v>
      </c>
      <c r="H29" s="184">
        <f>G29*0.05</f>
        <v>0.1</v>
      </c>
      <c r="I29" s="185">
        <v>5</v>
      </c>
      <c r="J29" s="186">
        <v>200</v>
      </c>
      <c r="K29" s="186">
        <v>0</v>
      </c>
      <c r="L29" s="186">
        <v>100</v>
      </c>
      <c r="M29" s="186">
        <f t="shared" si="3"/>
        <v>300</v>
      </c>
      <c r="N29" s="187">
        <f>H29/M29+N27</f>
        <v>1.4055555555555557E-3</v>
      </c>
      <c r="O29" s="202">
        <f>S29*$H29</f>
        <v>6.6666666666666666E-2</v>
      </c>
      <c r="P29" s="189">
        <f>T29*$H29</f>
        <v>0</v>
      </c>
      <c r="Q29" s="190">
        <f>U29*$H29</f>
        <v>3.3333333333333333E-2</v>
      </c>
      <c r="S29" s="191">
        <f t="shared" si="4"/>
        <v>0.66666666666666663</v>
      </c>
      <c r="T29" s="191">
        <f t="shared" si="5"/>
        <v>0</v>
      </c>
      <c r="U29" s="191">
        <f t="shared" si="6"/>
        <v>0.33333333333333331</v>
      </c>
      <c r="V29" s="191">
        <f t="shared" si="7"/>
        <v>1</v>
      </c>
      <c r="AC29" s="176" t="s">
        <v>269</v>
      </c>
    </row>
    <row r="30" spans="2:29" s="174" customFormat="1" x14ac:dyDescent="0.25">
      <c r="C30" s="192"/>
      <c r="E30" s="203"/>
      <c r="F30" s="174">
        <v>6</v>
      </c>
      <c r="G30" s="195"/>
      <c r="H30" s="195">
        <v>5</v>
      </c>
      <c r="I30" s="175" t="s">
        <v>160</v>
      </c>
      <c r="J30" s="192">
        <v>0</v>
      </c>
      <c r="K30" s="192">
        <v>0</v>
      </c>
      <c r="L30" s="192">
        <v>0</v>
      </c>
      <c r="M30" s="192">
        <v>0</v>
      </c>
      <c r="N30" s="206">
        <f>N29</f>
        <v>1.4055555555555557E-3</v>
      </c>
      <c r="AC30" s="176" t="s">
        <v>269</v>
      </c>
    </row>
    <row r="31" spans="2:29" x14ac:dyDescent="0.25">
      <c r="C31" s="4"/>
      <c r="E31" s="77"/>
      <c r="G31" s="8"/>
      <c r="H31" s="8"/>
      <c r="I31" s="2"/>
      <c r="J31" s="4"/>
      <c r="K31" s="4"/>
      <c r="L31" s="4"/>
      <c r="M31" s="4"/>
      <c r="N31" s="89"/>
    </row>
    <row r="32" spans="2:29" x14ac:dyDescent="0.25">
      <c r="C32" s="4"/>
      <c r="E32" s="77"/>
      <c r="G32" s="8"/>
      <c r="H32" s="8"/>
      <c r="I32" s="2"/>
      <c r="J32" s="4"/>
      <c r="K32" s="4"/>
      <c r="L32" s="4"/>
      <c r="M32" s="4"/>
      <c r="N32" s="89"/>
    </row>
    <row r="33" spans="2:29" s="207" customFormat="1" x14ac:dyDescent="0.25">
      <c r="C33" s="208"/>
      <c r="E33" s="209"/>
      <c r="G33" s="207" t="s">
        <v>267</v>
      </c>
      <c r="J33" s="208"/>
      <c r="K33" s="208"/>
      <c r="L33" s="208"/>
      <c r="N33" s="210"/>
      <c r="O33" s="210"/>
      <c r="P33" s="210"/>
      <c r="Q33" s="210"/>
      <c r="W33" s="208"/>
      <c r="AC33" s="211" t="s">
        <v>268</v>
      </c>
    </row>
    <row r="34" spans="2:29" s="207" customFormat="1" x14ac:dyDescent="0.25">
      <c r="C34" s="208"/>
      <c r="E34" s="209"/>
      <c r="H34" s="212"/>
      <c r="J34" s="208"/>
      <c r="K34" s="208"/>
      <c r="L34" s="208"/>
      <c r="M34" s="213"/>
      <c r="N34" s="210"/>
      <c r="Z34" s="207" t="s">
        <v>236</v>
      </c>
      <c r="AC34" s="211" t="s">
        <v>268</v>
      </c>
    </row>
    <row r="35" spans="2:29" s="207" customFormat="1" ht="15.75" thickBot="1" x14ac:dyDescent="0.3">
      <c r="C35" s="208"/>
      <c r="E35" s="209"/>
      <c r="G35" s="211" t="s">
        <v>86</v>
      </c>
      <c r="H35" s="211" t="s">
        <v>87</v>
      </c>
      <c r="I35" s="211" t="s">
        <v>85</v>
      </c>
      <c r="J35" s="211" t="s">
        <v>161</v>
      </c>
      <c r="K35" s="211" t="s">
        <v>162</v>
      </c>
      <c r="L35" s="211" t="s">
        <v>54</v>
      </c>
      <c r="M35" s="211" t="s">
        <v>83</v>
      </c>
      <c r="N35" s="211" t="s">
        <v>84</v>
      </c>
      <c r="O35" s="211" t="s">
        <v>161</v>
      </c>
      <c r="P35" s="211" t="s">
        <v>162</v>
      </c>
      <c r="Q35" s="211" t="s">
        <v>54</v>
      </c>
      <c r="R35" s="211"/>
      <c r="S35" s="211" t="s">
        <v>82</v>
      </c>
      <c r="T35" s="211" t="s">
        <v>114</v>
      </c>
      <c r="U35" s="211" t="s">
        <v>115</v>
      </c>
      <c r="V35" s="211"/>
      <c r="AB35" s="214"/>
      <c r="AC35" s="211" t="s">
        <v>268</v>
      </c>
    </row>
    <row r="36" spans="2:29" s="207" customFormat="1" x14ac:dyDescent="0.25">
      <c r="C36" s="208"/>
      <c r="E36" s="209"/>
      <c r="H36" s="207">
        <v>0</v>
      </c>
      <c r="I36" s="215" t="s">
        <v>155</v>
      </c>
      <c r="J36" s="216">
        <v>250</v>
      </c>
      <c r="K36" s="217">
        <v>0</v>
      </c>
      <c r="L36" s="217">
        <v>0</v>
      </c>
      <c r="M36" s="217">
        <f>SUM(J36:L36)</f>
        <v>250</v>
      </c>
      <c r="N36" s="218">
        <v>0</v>
      </c>
      <c r="O36" s="219"/>
      <c r="P36" s="220"/>
      <c r="Q36" s="221"/>
      <c r="AA36" s="211" t="s">
        <v>163</v>
      </c>
      <c r="AB36" s="211"/>
      <c r="AC36" s="211" t="s">
        <v>268</v>
      </c>
    </row>
    <row r="37" spans="2:29" s="207" customFormat="1" ht="15.75" thickBot="1" x14ac:dyDescent="0.3">
      <c r="C37" s="208"/>
      <c r="E37" s="209"/>
      <c r="G37" s="213">
        <v>2</v>
      </c>
      <c r="H37" s="213">
        <f>G37*0.05</f>
        <v>0.1</v>
      </c>
      <c r="I37" s="222">
        <v>1</v>
      </c>
      <c r="J37" s="223">
        <v>250</v>
      </c>
      <c r="K37" s="224">
        <v>0</v>
      </c>
      <c r="L37" s="224">
        <v>0</v>
      </c>
      <c r="M37" s="224">
        <f t="shared" ref="M37:M45" si="8">SUM(J37:L37)</f>
        <v>250</v>
      </c>
      <c r="N37" s="225">
        <f>H37/M37</f>
        <v>4.0000000000000002E-4</v>
      </c>
      <c r="O37" s="226">
        <f>S37*$H37</f>
        <v>0.1</v>
      </c>
      <c r="P37" s="227">
        <f>T37*$H37</f>
        <v>0</v>
      </c>
      <c r="Q37" s="228">
        <f>U37*$H37</f>
        <v>0</v>
      </c>
      <c r="S37" s="229">
        <f>J37/$M37</f>
        <v>1</v>
      </c>
      <c r="T37" s="229">
        <f>K37/$M37</f>
        <v>0</v>
      </c>
      <c r="U37" s="229">
        <f>L37/$M37</f>
        <v>0</v>
      </c>
      <c r="V37" s="230">
        <f>SUM(S37:U37)</f>
        <v>1</v>
      </c>
      <c r="X37" s="211" t="s">
        <v>190</v>
      </c>
      <c r="Y37" s="211" t="s">
        <v>85</v>
      </c>
      <c r="Z37" s="211" t="s">
        <v>150</v>
      </c>
      <c r="AA37" s="211" t="s">
        <v>165</v>
      </c>
      <c r="AB37" s="211"/>
      <c r="AC37" s="211" t="s">
        <v>268</v>
      </c>
    </row>
    <row r="38" spans="2:29" s="207" customFormat="1" x14ac:dyDescent="0.25">
      <c r="C38" s="208"/>
      <c r="E38" s="209"/>
      <c r="G38" s="231"/>
      <c r="H38" s="231">
        <v>1</v>
      </c>
      <c r="I38" s="215" t="s">
        <v>156</v>
      </c>
      <c r="J38" s="216">
        <v>250</v>
      </c>
      <c r="K38" s="216">
        <v>150</v>
      </c>
      <c r="L38" s="217">
        <v>0</v>
      </c>
      <c r="M38" s="217">
        <f t="shared" si="8"/>
        <v>400</v>
      </c>
      <c r="N38" s="218">
        <f>N37</f>
        <v>4.0000000000000002E-4</v>
      </c>
      <c r="O38" s="232"/>
      <c r="P38" s="233"/>
      <c r="Q38" s="234"/>
      <c r="S38" s="229">
        <f t="shared" ref="S38:S45" si="9">J38/$M38</f>
        <v>0.625</v>
      </c>
      <c r="T38" s="229">
        <f t="shared" ref="T38:T45" si="10">K38/$M38</f>
        <v>0.375</v>
      </c>
      <c r="U38" s="229">
        <f t="shared" ref="U38:U45" si="11">L38/$M38</f>
        <v>0</v>
      </c>
      <c r="V38" s="230">
        <f t="shared" ref="V38:V45" si="12">SUM(S38:U38)</f>
        <v>1</v>
      </c>
      <c r="X38" s="235">
        <v>0</v>
      </c>
      <c r="Y38" s="207">
        <v>4</v>
      </c>
      <c r="Z38" s="208">
        <v>250000000</v>
      </c>
      <c r="AA38" s="236">
        <f>(O37+O39+O41)*1000</f>
        <v>212.50000000000003</v>
      </c>
      <c r="AB38" s="237"/>
      <c r="AC38" s="211" t="s">
        <v>268</v>
      </c>
    </row>
    <row r="39" spans="2:29" s="207" customFormat="1" ht="15.75" thickBot="1" x14ac:dyDescent="0.3">
      <c r="C39" s="208"/>
      <c r="E39" s="209"/>
      <c r="G39" s="213">
        <v>2</v>
      </c>
      <c r="H39" s="213">
        <f>G39*0.05</f>
        <v>0.1</v>
      </c>
      <c r="I39" s="222">
        <v>2</v>
      </c>
      <c r="J39" s="223">
        <v>250</v>
      </c>
      <c r="K39" s="223">
        <v>150</v>
      </c>
      <c r="L39" s="224">
        <v>0</v>
      </c>
      <c r="M39" s="224">
        <f t="shared" si="8"/>
        <v>400</v>
      </c>
      <c r="N39" s="225">
        <f>H39/M39+N37</f>
        <v>6.4999999999999997E-4</v>
      </c>
      <c r="O39" s="226">
        <f>S39*$H39</f>
        <v>6.25E-2</v>
      </c>
      <c r="P39" s="227">
        <f>T39*$H39</f>
        <v>3.7500000000000006E-2</v>
      </c>
      <c r="Q39" s="228">
        <f>U39*$H39</f>
        <v>0</v>
      </c>
      <c r="S39" s="229">
        <f t="shared" si="9"/>
        <v>0.625</v>
      </c>
      <c r="T39" s="229">
        <f t="shared" si="10"/>
        <v>0.375</v>
      </c>
      <c r="U39" s="229">
        <f t="shared" si="11"/>
        <v>0</v>
      </c>
      <c r="V39" s="230">
        <f t="shared" si="12"/>
        <v>1</v>
      </c>
      <c r="W39" s="208"/>
      <c r="X39" s="235">
        <v>1</v>
      </c>
      <c r="Y39" s="207">
        <v>5</v>
      </c>
      <c r="Z39" s="208">
        <v>150000000</v>
      </c>
      <c r="AA39" s="318">
        <f>(P39+P41+P43)*1000</f>
        <v>94.772727272727266</v>
      </c>
      <c r="AB39" s="237"/>
      <c r="AC39" s="211" t="s">
        <v>268</v>
      </c>
    </row>
    <row r="40" spans="2:29" s="207" customFormat="1" x14ac:dyDescent="0.25">
      <c r="C40" s="208"/>
      <c r="E40" s="209"/>
      <c r="G40" s="231"/>
      <c r="H40" s="231">
        <v>1</v>
      </c>
      <c r="I40" s="215" t="s">
        <v>157</v>
      </c>
      <c r="J40" s="216">
        <v>250</v>
      </c>
      <c r="K40" s="216">
        <v>150</v>
      </c>
      <c r="L40" s="216">
        <v>100</v>
      </c>
      <c r="M40" s="217">
        <f t="shared" si="8"/>
        <v>500</v>
      </c>
      <c r="N40" s="218">
        <f>N39</f>
        <v>6.4999999999999997E-4</v>
      </c>
      <c r="O40" s="232"/>
      <c r="P40" s="233"/>
      <c r="Q40" s="234"/>
      <c r="S40" s="229">
        <f t="shared" si="9"/>
        <v>0.5</v>
      </c>
      <c r="T40" s="229">
        <f t="shared" si="10"/>
        <v>0.3</v>
      </c>
      <c r="U40" s="229">
        <f t="shared" si="11"/>
        <v>0.2</v>
      </c>
      <c r="V40" s="230">
        <f t="shared" si="12"/>
        <v>1</v>
      </c>
      <c r="W40" s="208"/>
      <c r="X40" s="235">
        <v>0</v>
      </c>
      <c r="Y40" s="207">
        <v>6</v>
      </c>
      <c r="Z40" s="208">
        <v>200000000</v>
      </c>
      <c r="AA40" s="238">
        <f>(O43+O45)*1000</f>
        <v>129.54545454545456</v>
      </c>
      <c r="AB40" s="237"/>
      <c r="AC40" s="211" t="s">
        <v>268</v>
      </c>
    </row>
    <row r="41" spans="2:29" s="207" customFormat="1" ht="15.75" thickBot="1" x14ac:dyDescent="0.3">
      <c r="C41" s="208"/>
      <c r="E41" s="209"/>
      <c r="G41" s="213">
        <v>2</v>
      </c>
      <c r="H41" s="213">
        <f>G41*0.05</f>
        <v>0.1</v>
      </c>
      <c r="I41" s="222">
        <v>3</v>
      </c>
      <c r="J41" s="223">
        <v>250</v>
      </c>
      <c r="K41" s="223">
        <v>150</v>
      </c>
      <c r="L41" s="223">
        <v>100</v>
      </c>
      <c r="M41" s="224">
        <f t="shared" si="8"/>
        <v>500</v>
      </c>
      <c r="N41" s="225">
        <f>H41/M41+N39</f>
        <v>8.4999999999999995E-4</v>
      </c>
      <c r="O41" s="226">
        <f>S41*$H41</f>
        <v>0.05</v>
      </c>
      <c r="P41" s="227">
        <f>T41*$H41</f>
        <v>0.03</v>
      </c>
      <c r="Q41" s="228">
        <f>U41*$H41</f>
        <v>2.0000000000000004E-2</v>
      </c>
      <c r="R41" s="239">
        <f>Q41-Q25</f>
        <v>0</v>
      </c>
      <c r="S41" s="229">
        <f t="shared" si="9"/>
        <v>0.5</v>
      </c>
      <c r="T41" s="229">
        <f t="shared" si="10"/>
        <v>0.3</v>
      </c>
      <c r="U41" s="229">
        <f t="shared" si="11"/>
        <v>0.2</v>
      </c>
      <c r="V41" s="230">
        <f t="shared" si="12"/>
        <v>1</v>
      </c>
      <c r="W41" s="208"/>
      <c r="X41" s="235">
        <v>2</v>
      </c>
      <c r="Y41" s="207">
        <v>6</v>
      </c>
      <c r="Z41" s="208">
        <v>100000000</v>
      </c>
      <c r="AA41" s="240">
        <f>(Q41+Q43+Q45)*1000</f>
        <v>63.181818181818201</v>
      </c>
      <c r="AB41" s="237"/>
      <c r="AC41" s="211" t="s">
        <v>268</v>
      </c>
    </row>
    <row r="42" spans="2:29" s="207" customFormat="1" ht="15.75" thickBot="1" x14ac:dyDescent="0.3">
      <c r="C42" s="208"/>
      <c r="E42" s="209"/>
      <c r="F42" s="241"/>
      <c r="G42" s="231"/>
      <c r="H42" s="231">
        <v>3</v>
      </c>
      <c r="I42" s="215" t="s">
        <v>158</v>
      </c>
      <c r="J42" s="216">
        <v>300</v>
      </c>
      <c r="K42" s="216">
        <v>150</v>
      </c>
      <c r="L42" s="216">
        <v>100</v>
      </c>
      <c r="M42" s="217">
        <f t="shared" si="8"/>
        <v>550</v>
      </c>
      <c r="N42" s="218">
        <f>N41</f>
        <v>8.4999999999999995E-4</v>
      </c>
      <c r="O42" s="232"/>
      <c r="P42" s="233"/>
      <c r="Q42" s="234"/>
      <c r="R42" s="239">
        <f t="shared" ref="R42:R45" si="13">Q42-Q26</f>
        <v>0</v>
      </c>
      <c r="S42" s="229">
        <f t="shared" si="9"/>
        <v>0.54545454545454541</v>
      </c>
      <c r="T42" s="229">
        <f t="shared" si="10"/>
        <v>0.27272727272727271</v>
      </c>
      <c r="U42" s="229">
        <f t="shared" si="11"/>
        <v>0.18181818181818182</v>
      </c>
      <c r="V42" s="230">
        <f t="shared" si="12"/>
        <v>1</v>
      </c>
      <c r="X42" s="235"/>
      <c r="Z42" s="208">
        <v>99999999</v>
      </c>
      <c r="AA42" s="237">
        <f>SUM(AA38:AA41)</f>
        <v>500.00000000000006</v>
      </c>
      <c r="AB42" s="210"/>
      <c r="AC42" s="211" t="s">
        <v>268</v>
      </c>
    </row>
    <row r="43" spans="2:29" s="207" customFormat="1" ht="15.75" thickBot="1" x14ac:dyDescent="0.3">
      <c r="C43" s="208"/>
      <c r="E43" s="209"/>
      <c r="G43" s="213">
        <v>2</v>
      </c>
      <c r="H43" s="213">
        <f>G43*0.05</f>
        <v>0.1</v>
      </c>
      <c r="I43" s="222">
        <v>4</v>
      </c>
      <c r="J43" s="216">
        <v>300</v>
      </c>
      <c r="K43" s="223">
        <v>150</v>
      </c>
      <c r="L43" s="223">
        <v>100</v>
      </c>
      <c r="M43" s="224">
        <f t="shared" si="8"/>
        <v>550</v>
      </c>
      <c r="N43" s="225">
        <f>(H43)/M43+N41</f>
        <v>1.0318181818181817E-3</v>
      </c>
      <c r="O43" s="242">
        <f>S43*$H43</f>
        <v>5.4545454545454543E-2</v>
      </c>
      <c r="P43" s="227">
        <f>T43*$H43</f>
        <v>2.7272727272727271E-2</v>
      </c>
      <c r="Q43" s="228">
        <f>U43*$H43</f>
        <v>1.8181818181818184E-2</v>
      </c>
      <c r="R43" s="239">
        <f t="shared" si="13"/>
        <v>-4.0404040404040387E-3</v>
      </c>
      <c r="S43" s="229">
        <f t="shared" si="9"/>
        <v>0.54545454545454541</v>
      </c>
      <c r="T43" s="229">
        <f t="shared" si="10"/>
        <v>0.27272727272727271</v>
      </c>
      <c r="U43" s="229">
        <f t="shared" si="11"/>
        <v>0.18181818181818182</v>
      </c>
      <c r="V43" s="230">
        <f t="shared" si="12"/>
        <v>1</v>
      </c>
      <c r="W43" s="210"/>
      <c r="Y43" s="214"/>
      <c r="Z43" s="214"/>
      <c r="AA43" s="214"/>
      <c r="AC43" s="211" t="s">
        <v>268</v>
      </c>
    </row>
    <row r="44" spans="2:29" s="207" customFormat="1" ht="15.75" thickBot="1" x14ac:dyDescent="0.3">
      <c r="C44" s="208"/>
      <c r="E44" s="209"/>
      <c r="G44" s="231"/>
      <c r="H44" s="231">
        <v>4</v>
      </c>
      <c r="I44" s="215" t="s">
        <v>159</v>
      </c>
      <c r="J44" s="216">
        <v>300</v>
      </c>
      <c r="K44" s="216">
        <v>0</v>
      </c>
      <c r="L44" s="216">
        <v>100</v>
      </c>
      <c r="M44" s="217">
        <f t="shared" si="8"/>
        <v>400</v>
      </c>
      <c r="N44" s="218">
        <f>N43</f>
        <v>1.0318181818181817E-3</v>
      </c>
      <c r="O44" s="243"/>
      <c r="P44" s="233"/>
      <c r="Q44" s="234"/>
      <c r="R44" s="239">
        <f t="shared" si="13"/>
        <v>0</v>
      </c>
      <c r="S44" s="229">
        <f t="shared" si="9"/>
        <v>0.75</v>
      </c>
      <c r="T44" s="229">
        <f t="shared" si="10"/>
        <v>0</v>
      </c>
      <c r="U44" s="229">
        <f t="shared" si="11"/>
        <v>0.25</v>
      </c>
      <c r="V44" s="230">
        <f t="shared" si="12"/>
        <v>1</v>
      </c>
      <c r="W44" s="210"/>
      <c r="AC44" s="211" t="s">
        <v>268</v>
      </c>
    </row>
    <row r="45" spans="2:29" s="207" customFormat="1" ht="15.75" thickBot="1" x14ac:dyDescent="0.3">
      <c r="E45" s="209"/>
      <c r="G45" s="213">
        <v>2</v>
      </c>
      <c r="H45" s="213">
        <f>G45*0.05</f>
        <v>0.1</v>
      </c>
      <c r="I45" s="222">
        <v>5</v>
      </c>
      <c r="J45" s="216">
        <v>300</v>
      </c>
      <c r="K45" s="224">
        <v>0</v>
      </c>
      <c r="L45" s="223">
        <v>100</v>
      </c>
      <c r="M45" s="224">
        <f t="shared" si="8"/>
        <v>400</v>
      </c>
      <c r="N45" s="225">
        <f>H45/M45+N43</f>
        <v>1.2818181818181817E-3</v>
      </c>
      <c r="O45" s="242">
        <f>S45*$H45</f>
        <v>7.5000000000000011E-2</v>
      </c>
      <c r="P45" s="227">
        <f>T45*$H45</f>
        <v>0</v>
      </c>
      <c r="Q45" s="228">
        <f>U45*$H45</f>
        <v>2.5000000000000001E-2</v>
      </c>
      <c r="R45" s="239">
        <f t="shared" si="13"/>
        <v>-8.3333333333333315E-3</v>
      </c>
      <c r="S45" s="229">
        <f t="shared" si="9"/>
        <v>0.75</v>
      </c>
      <c r="T45" s="229">
        <f t="shared" si="10"/>
        <v>0</v>
      </c>
      <c r="U45" s="229">
        <f t="shared" si="11"/>
        <v>0.25</v>
      </c>
      <c r="V45" s="230">
        <f t="shared" si="12"/>
        <v>1</v>
      </c>
      <c r="W45" s="210"/>
      <c r="AC45" s="211" t="s">
        <v>268</v>
      </c>
    </row>
    <row r="46" spans="2:29" s="207" customFormat="1" x14ac:dyDescent="0.25">
      <c r="E46" s="244"/>
      <c r="F46" s="213"/>
      <c r="G46" s="231"/>
      <c r="H46" s="231">
        <v>5</v>
      </c>
      <c r="I46" s="211" t="s">
        <v>160</v>
      </c>
      <c r="J46" s="208">
        <v>0</v>
      </c>
      <c r="K46" s="208">
        <v>0</v>
      </c>
      <c r="L46" s="208">
        <v>0</v>
      </c>
      <c r="M46" s="208">
        <v>0</v>
      </c>
      <c r="N46" s="245">
        <f>N45</f>
        <v>1.2818181818181817E-3</v>
      </c>
      <c r="W46" s="210"/>
      <c r="AC46" s="211" t="s">
        <v>268</v>
      </c>
    </row>
    <row r="47" spans="2:29" x14ac:dyDescent="0.25">
      <c r="E47" s="105"/>
      <c r="H47" s="41"/>
      <c r="J47" s="4"/>
      <c r="K47" s="4"/>
      <c r="L47" s="4"/>
      <c r="M47" s="46"/>
      <c r="N47" s="3"/>
      <c r="Z47" t="s">
        <v>236</v>
      </c>
    </row>
    <row r="48" spans="2:29" s="247" customFormat="1" ht="15.75" thickBot="1" x14ac:dyDescent="0.3">
      <c r="B48" s="246"/>
      <c r="G48" s="248" t="s">
        <v>86</v>
      </c>
      <c r="H48" s="248" t="s">
        <v>87</v>
      </c>
      <c r="I48" s="248" t="s">
        <v>85</v>
      </c>
      <c r="J48" s="248" t="s">
        <v>161</v>
      </c>
      <c r="K48" s="248" t="s">
        <v>162</v>
      </c>
      <c r="L48" s="248" t="s">
        <v>54</v>
      </c>
      <c r="M48" s="248" t="s">
        <v>83</v>
      </c>
      <c r="N48" s="248" t="s">
        <v>84</v>
      </c>
      <c r="O48" s="248" t="s">
        <v>161</v>
      </c>
      <c r="P48" s="248" t="s">
        <v>162</v>
      </c>
      <c r="Q48" s="248" t="s">
        <v>54</v>
      </c>
      <c r="R48" s="248"/>
      <c r="S48" s="248" t="s">
        <v>82</v>
      </c>
      <c r="T48" s="248" t="s">
        <v>114</v>
      </c>
      <c r="U48" s="248" t="s">
        <v>115</v>
      </c>
      <c r="V48" s="248"/>
      <c r="AB48" s="249"/>
      <c r="AC48" s="248" t="s">
        <v>275</v>
      </c>
    </row>
    <row r="49" spans="2:30" s="247" customFormat="1" x14ac:dyDescent="0.25">
      <c r="D49" s="247" t="s">
        <v>271</v>
      </c>
      <c r="E49" s="250"/>
      <c r="H49" s="247">
        <v>0</v>
      </c>
      <c r="I49" s="251" t="s">
        <v>155</v>
      </c>
      <c r="J49" s="252">
        <v>250</v>
      </c>
      <c r="K49" s="253">
        <v>0</v>
      </c>
      <c r="L49" s="253">
        <v>0</v>
      </c>
      <c r="M49" s="253">
        <f>SUM(J49:L49)</f>
        <v>250</v>
      </c>
      <c r="N49" s="254">
        <v>0</v>
      </c>
      <c r="O49" s="255"/>
      <c r="P49" s="256"/>
      <c r="Q49" s="257"/>
      <c r="AA49" s="248" t="s">
        <v>163</v>
      </c>
      <c r="AB49" s="248"/>
      <c r="AC49" s="248" t="s">
        <v>275</v>
      </c>
    </row>
    <row r="50" spans="2:30" s="247" customFormat="1" ht="15.75" thickBot="1" x14ac:dyDescent="0.3">
      <c r="B50" s="246"/>
      <c r="D50" s="247" t="s">
        <v>272</v>
      </c>
      <c r="E50" s="258"/>
      <c r="G50" s="259">
        <v>2</v>
      </c>
      <c r="H50" s="259">
        <f>G50*0.05</f>
        <v>0.1</v>
      </c>
      <c r="I50" s="260">
        <v>1</v>
      </c>
      <c r="J50" s="261">
        <v>250</v>
      </c>
      <c r="K50" s="262">
        <v>0</v>
      </c>
      <c r="L50" s="262">
        <v>0</v>
      </c>
      <c r="M50" s="262">
        <f t="shared" ref="M50:M58" si="14">SUM(J50:L50)</f>
        <v>250</v>
      </c>
      <c r="N50" s="263">
        <f>H50/M50</f>
        <v>4.0000000000000002E-4</v>
      </c>
      <c r="O50" s="264">
        <f>S50*$H50</f>
        <v>0.1</v>
      </c>
      <c r="P50" s="265">
        <f>T50*$H50</f>
        <v>0</v>
      </c>
      <c r="Q50" s="266">
        <f>U50*$H50</f>
        <v>0</v>
      </c>
      <c r="S50" s="267">
        <f>J50/$M50</f>
        <v>1</v>
      </c>
      <c r="T50" s="267">
        <f>K50/$M50</f>
        <v>0</v>
      </c>
      <c r="U50" s="267">
        <f>L50/$M50</f>
        <v>0</v>
      </c>
      <c r="V50" s="268">
        <f>SUM(S50:U50)</f>
        <v>1</v>
      </c>
      <c r="X50" s="248" t="s">
        <v>190</v>
      </c>
      <c r="Y50" s="248" t="s">
        <v>85</v>
      </c>
      <c r="Z50" s="248" t="s">
        <v>150</v>
      </c>
      <c r="AA50" s="248" t="s">
        <v>165</v>
      </c>
      <c r="AB50" s="248"/>
      <c r="AC50" s="248" t="s">
        <v>275</v>
      </c>
    </row>
    <row r="51" spans="2:30" s="247" customFormat="1" x14ac:dyDescent="0.25">
      <c r="E51" s="269"/>
      <c r="G51" s="270"/>
      <c r="H51" s="270">
        <v>1</v>
      </c>
      <c r="I51" s="251" t="s">
        <v>156</v>
      </c>
      <c r="J51" s="252">
        <v>250</v>
      </c>
      <c r="K51" s="252">
        <v>150</v>
      </c>
      <c r="L51" s="253">
        <v>0</v>
      </c>
      <c r="M51" s="253">
        <f t="shared" si="14"/>
        <v>400</v>
      </c>
      <c r="N51" s="254">
        <f>N50</f>
        <v>4.0000000000000002E-4</v>
      </c>
      <c r="O51" s="271"/>
      <c r="P51" s="272"/>
      <c r="Q51" s="273"/>
      <c r="S51" s="267">
        <f t="shared" ref="S51:S58" si="15">J51/$M51</f>
        <v>0.625</v>
      </c>
      <c r="T51" s="267">
        <f t="shared" ref="T51:T58" si="16">K51/$M51</f>
        <v>0.375</v>
      </c>
      <c r="U51" s="267">
        <f t="shared" ref="U51:U58" si="17">L51/$M51</f>
        <v>0</v>
      </c>
      <c r="V51" s="268">
        <f t="shared" ref="V51:V58" si="18">SUM(S51:U51)</f>
        <v>1</v>
      </c>
      <c r="X51" s="246">
        <v>0</v>
      </c>
      <c r="Y51" s="247">
        <v>4</v>
      </c>
      <c r="Z51" s="274">
        <v>250000000</v>
      </c>
      <c r="AA51" s="275">
        <f>(O50+O52+O54)*1000</f>
        <v>212.50000000000003</v>
      </c>
      <c r="AB51" s="276"/>
      <c r="AC51" s="248" t="s">
        <v>275</v>
      </c>
    </row>
    <row r="52" spans="2:30" s="247" customFormat="1" ht="15.75" thickBot="1" x14ac:dyDescent="0.3">
      <c r="B52" s="246"/>
      <c r="G52" s="259">
        <v>2</v>
      </c>
      <c r="H52" s="259">
        <f>G52*0.05</f>
        <v>0.1</v>
      </c>
      <c r="I52" s="260">
        <v>2</v>
      </c>
      <c r="J52" s="261">
        <v>250</v>
      </c>
      <c r="K52" s="261">
        <v>150</v>
      </c>
      <c r="L52" s="262">
        <v>0</v>
      </c>
      <c r="M52" s="262">
        <f t="shared" si="14"/>
        <v>400</v>
      </c>
      <c r="N52" s="263">
        <f>H52/M52+N50</f>
        <v>6.4999999999999997E-4</v>
      </c>
      <c r="O52" s="264">
        <f>S52*$H52</f>
        <v>6.25E-2</v>
      </c>
      <c r="P52" s="265">
        <f>T52*$H52</f>
        <v>3.7500000000000006E-2</v>
      </c>
      <c r="Q52" s="266">
        <f>U52*$H52</f>
        <v>0</v>
      </c>
      <c r="R52" s="281">
        <f>P52-P39</f>
        <v>0</v>
      </c>
      <c r="S52" s="267">
        <f t="shared" si="15"/>
        <v>0.625</v>
      </c>
      <c r="T52" s="267">
        <f t="shared" si="16"/>
        <v>0.375</v>
      </c>
      <c r="U52" s="267">
        <f t="shared" si="17"/>
        <v>0</v>
      </c>
      <c r="V52" s="268">
        <f t="shared" si="18"/>
        <v>1</v>
      </c>
      <c r="W52" s="274"/>
      <c r="X52" s="246">
        <v>1</v>
      </c>
      <c r="Y52" s="247">
        <v>5</v>
      </c>
      <c r="Z52" s="274">
        <v>150000000</v>
      </c>
      <c r="AA52" s="277">
        <f>(P52+P54+P56)*1000</f>
        <v>94.772727272727266</v>
      </c>
      <c r="AB52" s="276"/>
      <c r="AC52" s="248" t="s">
        <v>275</v>
      </c>
    </row>
    <row r="53" spans="2:30" s="247" customFormat="1" x14ac:dyDescent="0.25">
      <c r="G53" s="270"/>
      <c r="H53" s="270">
        <v>1</v>
      </c>
      <c r="I53" s="251" t="s">
        <v>157</v>
      </c>
      <c r="J53" s="252">
        <v>250</v>
      </c>
      <c r="K53" s="252">
        <v>150</v>
      </c>
      <c r="L53" s="252">
        <v>100</v>
      </c>
      <c r="M53" s="253">
        <f t="shared" si="14"/>
        <v>500</v>
      </c>
      <c r="N53" s="254">
        <f>N52</f>
        <v>6.4999999999999997E-4</v>
      </c>
      <c r="O53" s="271"/>
      <c r="P53" s="272"/>
      <c r="Q53" s="273"/>
      <c r="R53" s="281">
        <f t="shared" ref="R53:R56" si="19">P53-P40</f>
        <v>0</v>
      </c>
      <c r="S53" s="267">
        <f t="shared" si="15"/>
        <v>0.5</v>
      </c>
      <c r="T53" s="267">
        <f t="shared" si="16"/>
        <v>0.3</v>
      </c>
      <c r="U53" s="267">
        <f t="shared" si="17"/>
        <v>0.2</v>
      </c>
      <c r="V53" s="268">
        <f t="shared" si="18"/>
        <v>1</v>
      </c>
      <c r="W53" s="274"/>
      <c r="X53" s="246">
        <v>0</v>
      </c>
      <c r="Y53" s="247">
        <v>6</v>
      </c>
      <c r="Z53" s="274">
        <v>200000000</v>
      </c>
      <c r="AA53" s="277">
        <f>(O56+O58)*1000</f>
        <v>129.54545454545456</v>
      </c>
      <c r="AB53" s="276"/>
      <c r="AC53" s="248" t="s">
        <v>275</v>
      </c>
    </row>
    <row r="54" spans="2:30" s="247" customFormat="1" ht="15.75" thickBot="1" x14ac:dyDescent="0.3">
      <c r="G54" s="259">
        <v>2</v>
      </c>
      <c r="H54" s="259">
        <f>G54*0.05</f>
        <v>0.1</v>
      </c>
      <c r="I54" s="260">
        <v>3</v>
      </c>
      <c r="J54" s="261">
        <v>250</v>
      </c>
      <c r="K54" s="261">
        <v>150</v>
      </c>
      <c r="L54" s="261">
        <v>100</v>
      </c>
      <c r="M54" s="262">
        <f t="shared" si="14"/>
        <v>500</v>
      </c>
      <c r="N54" s="263">
        <f>H54/M54+N52</f>
        <v>8.4999999999999995E-4</v>
      </c>
      <c r="O54" s="264">
        <f>S54*$H54</f>
        <v>0.05</v>
      </c>
      <c r="P54" s="265">
        <f>T54*$H54</f>
        <v>0.03</v>
      </c>
      <c r="Q54" s="266">
        <f>U54*$H54</f>
        <v>2.0000000000000004E-2</v>
      </c>
      <c r="R54" s="281">
        <f t="shared" si="19"/>
        <v>0</v>
      </c>
      <c r="S54" s="267">
        <f t="shared" si="15"/>
        <v>0.5</v>
      </c>
      <c r="T54" s="267">
        <f t="shared" si="16"/>
        <v>0.3</v>
      </c>
      <c r="U54" s="267">
        <f t="shared" si="17"/>
        <v>0.2</v>
      </c>
      <c r="V54" s="268">
        <f t="shared" si="18"/>
        <v>1</v>
      </c>
      <c r="W54" s="274"/>
      <c r="X54" s="246">
        <v>2</v>
      </c>
      <c r="Y54" s="247">
        <v>6</v>
      </c>
      <c r="Z54" s="274">
        <v>100000000</v>
      </c>
      <c r="AA54" s="278">
        <f>(Q54+Q56+Q58)*1000/3</f>
        <v>21.060606060606066</v>
      </c>
      <c r="AB54" s="276"/>
      <c r="AC54" s="248" t="s">
        <v>275</v>
      </c>
    </row>
    <row r="55" spans="2:30" s="247" customFormat="1" x14ac:dyDescent="0.25">
      <c r="B55" s="246"/>
      <c r="F55" s="279"/>
      <c r="G55" s="270"/>
      <c r="H55" s="270">
        <v>3</v>
      </c>
      <c r="I55" s="251" t="s">
        <v>158</v>
      </c>
      <c r="J55" s="252">
        <v>300</v>
      </c>
      <c r="K55" s="252">
        <v>150</v>
      </c>
      <c r="L55" s="252">
        <v>100</v>
      </c>
      <c r="M55" s="253">
        <f t="shared" si="14"/>
        <v>550</v>
      </c>
      <c r="N55" s="254">
        <f>N54</f>
        <v>8.4999999999999995E-4</v>
      </c>
      <c r="O55" s="271"/>
      <c r="P55" s="272"/>
      <c r="Q55" s="273"/>
      <c r="R55" s="281">
        <f t="shared" si="19"/>
        <v>0</v>
      </c>
      <c r="S55" s="267">
        <f t="shared" si="15"/>
        <v>0.54545454545454541</v>
      </c>
      <c r="T55" s="267">
        <f t="shared" si="16"/>
        <v>0.27272727272727271</v>
      </c>
      <c r="U55" s="267">
        <f t="shared" si="17"/>
        <v>0.18181818181818182</v>
      </c>
      <c r="V55" s="268">
        <f t="shared" si="18"/>
        <v>1</v>
      </c>
      <c r="X55" s="246"/>
      <c r="Z55" s="274">
        <v>99999999</v>
      </c>
      <c r="AA55" s="276">
        <f>SUM(AA51:AA54)</f>
        <v>457.87878787878793</v>
      </c>
      <c r="AB55" s="280"/>
      <c r="AC55" s="248" t="s">
        <v>275</v>
      </c>
    </row>
    <row r="56" spans="2:30" s="247" customFormat="1" ht="15.75" thickBot="1" x14ac:dyDescent="0.3">
      <c r="G56" s="259">
        <v>2</v>
      </c>
      <c r="H56" s="259">
        <f>G56*0.05</f>
        <v>0.1</v>
      </c>
      <c r="I56" s="260">
        <v>4</v>
      </c>
      <c r="J56" s="261">
        <v>300</v>
      </c>
      <c r="K56" s="261">
        <v>150</v>
      </c>
      <c r="L56" s="261">
        <v>100</v>
      </c>
      <c r="M56" s="262">
        <f t="shared" si="14"/>
        <v>550</v>
      </c>
      <c r="N56" s="263">
        <f>(H56)/M56+N54</f>
        <v>1.0318181818181817E-3</v>
      </c>
      <c r="O56" s="264">
        <f>S56*$H56</f>
        <v>5.4545454545454543E-2</v>
      </c>
      <c r="P56" s="265">
        <f>T56*$H56</f>
        <v>2.7272727272727271E-2</v>
      </c>
      <c r="Q56" s="266">
        <f>U56*$H56</f>
        <v>1.8181818181818184E-2</v>
      </c>
      <c r="R56" s="281">
        <f t="shared" si="19"/>
        <v>0</v>
      </c>
      <c r="S56" s="267">
        <f t="shared" si="15"/>
        <v>0.54545454545454541</v>
      </c>
      <c r="T56" s="267">
        <f t="shared" si="16"/>
        <v>0.27272727272727271</v>
      </c>
      <c r="U56" s="267">
        <f t="shared" si="17"/>
        <v>0.18181818181818182</v>
      </c>
      <c r="V56" s="268">
        <f t="shared" si="18"/>
        <v>1</v>
      </c>
      <c r="W56" s="280"/>
      <c r="Y56" s="249"/>
      <c r="Z56" s="249"/>
      <c r="AA56" s="249"/>
      <c r="AC56" s="248" t="s">
        <v>275</v>
      </c>
    </row>
    <row r="57" spans="2:30" s="247" customFormat="1" x14ac:dyDescent="0.25">
      <c r="G57" s="270"/>
      <c r="H57" s="270">
        <v>4</v>
      </c>
      <c r="I57" s="251" t="s">
        <v>159</v>
      </c>
      <c r="J57" s="252">
        <v>300</v>
      </c>
      <c r="K57" s="252">
        <v>0</v>
      </c>
      <c r="L57" s="252">
        <v>100</v>
      </c>
      <c r="M57" s="253">
        <f t="shared" si="14"/>
        <v>400</v>
      </c>
      <c r="N57" s="254">
        <f>N56</f>
        <v>1.0318181818181817E-3</v>
      </c>
      <c r="O57" s="271"/>
      <c r="P57" s="272"/>
      <c r="Q57" s="273"/>
      <c r="S57" s="267">
        <f t="shared" si="15"/>
        <v>0.75</v>
      </c>
      <c r="T57" s="267">
        <f t="shared" si="16"/>
        <v>0</v>
      </c>
      <c r="U57" s="267">
        <f t="shared" si="17"/>
        <v>0.25</v>
      </c>
      <c r="V57" s="268">
        <f t="shared" si="18"/>
        <v>1</v>
      </c>
      <c r="W57" s="280"/>
      <c r="AC57" s="248" t="s">
        <v>275</v>
      </c>
    </row>
    <row r="58" spans="2:30" s="247" customFormat="1" ht="15.75" thickBot="1" x14ac:dyDescent="0.3">
      <c r="B58" s="246"/>
      <c r="G58" s="259">
        <v>2</v>
      </c>
      <c r="H58" s="259">
        <f>G58*0.05+0*(P56+P54+P52)/2</f>
        <v>0.1</v>
      </c>
      <c r="I58" s="260">
        <v>5</v>
      </c>
      <c r="J58" s="261">
        <v>300</v>
      </c>
      <c r="K58" s="262">
        <v>0</v>
      </c>
      <c r="L58" s="261">
        <v>100</v>
      </c>
      <c r="M58" s="262">
        <f t="shared" si="14"/>
        <v>400</v>
      </c>
      <c r="N58" s="263">
        <f>H58/M58+N56</f>
        <v>1.2818181818181817E-3</v>
      </c>
      <c r="O58" s="264">
        <f>S58*$H58</f>
        <v>7.5000000000000011E-2</v>
      </c>
      <c r="P58" s="265">
        <f>T58*$H58</f>
        <v>0</v>
      </c>
      <c r="Q58" s="266">
        <f>U58*$H58</f>
        <v>2.5000000000000001E-2</v>
      </c>
      <c r="S58" s="267">
        <f t="shared" si="15"/>
        <v>0.75</v>
      </c>
      <c r="T58" s="267">
        <f t="shared" si="16"/>
        <v>0</v>
      </c>
      <c r="U58" s="267">
        <f t="shared" si="17"/>
        <v>0.25</v>
      </c>
      <c r="V58" s="268">
        <f t="shared" si="18"/>
        <v>1</v>
      </c>
      <c r="W58" s="280"/>
      <c r="AC58" s="248" t="s">
        <v>275</v>
      </c>
    </row>
    <row r="59" spans="2:30" s="247" customFormat="1" x14ac:dyDescent="0.25">
      <c r="F59" s="259"/>
      <c r="G59" s="270"/>
      <c r="H59" s="270">
        <v>5</v>
      </c>
      <c r="I59" s="248" t="s">
        <v>160</v>
      </c>
      <c r="J59" s="274">
        <v>0</v>
      </c>
      <c r="K59" s="274">
        <v>0</v>
      </c>
      <c r="L59" s="274">
        <v>0</v>
      </c>
      <c r="M59" s="274">
        <v>0</v>
      </c>
      <c r="N59" s="250">
        <f>N58</f>
        <v>1.2818181818181817E-3</v>
      </c>
      <c r="W59" s="280"/>
      <c r="AC59" s="248" t="s">
        <v>275</v>
      </c>
    </row>
    <row r="60" spans="2:30" x14ac:dyDescent="0.25">
      <c r="C60" s="282"/>
      <c r="D60" s="282"/>
      <c r="E60" s="282"/>
      <c r="F60" s="283"/>
      <c r="G60" s="284"/>
      <c r="H60" s="284"/>
      <c r="I60" s="285"/>
      <c r="J60" s="286"/>
      <c r="K60" s="286"/>
      <c r="L60" s="286"/>
      <c r="M60" s="286"/>
      <c r="N60" s="287"/>
      <c r="O60" s="282"/>
      <c r="P60" s="282"/>
      <c r="Q60" s="282"/>
      <c r="R60" s="282"/>
      <c r="S60" s="282"/>
      <c r="T60" s="282"/>
      <c r="U60" s="282"/>
      <c r="V60" s="282"/>
      <c r="W60" s="288"/>
      <c r="X60" s="282"/>
      <c r="Y60" s="282"/>
      <c r="Z60" s="282"/>
      <c r="AA60" s="282"/>
      <c r="AB60" s="282"/>
      <c r="AC60" s="285" t="s">
        <v>276</v>
      </c>
      <c r="AD60" s="282"/>
    </row>
    <row r="61" spans="2:30" ht="15.75" thickBot="1" x14ac:dyDescent="0.3">
      <c r="B61" s="1"/>
      <c r="C61" s="282"/>
      <c r="D61" s="282"/>
      <c r="E61" s="282"/>
      <c r="F61" s="282"/>
      <c r="G61" s="285" t="s">
        <v>86</v>
      </c>
      <c r="H61" s="285" t="s">
        <v>87</v>
      </c>
      <c r="I61" s="285" t="s">
        <v>85</v>
      </c>
      <c r="J61" s="285" t="s">
        <v>161</v>
      </c>
      <c r="K61" s="285" t="s">
        <v>162</v>
      </c>
      <c r="L61" s="285" t="s">
        <v>54</v>
      </c>
      <c r="M61" s="285" t="s">
        <v>83</v>
      </c>
      <c r="N61" s="285" t="s">
        <v>84</v>
      </c>
      <c r="O61" s="285" t="s">
        <v>161</v>
      </c>
      <c r="P61" s="285" t="s">
        <v>162</v>
      </c>
      <c r="Q61" s="285" t="s">
        <v>54</v>
      </c>
      <c r="R61" s="285"/>
      <c r="S61" s="285" t="s">
        <v>82</v>
      </c>
      <c r="T61" s="285" t="s">
        <v>114</v>
      </c>
      <c r="U61" s="285" t="s">
        <v>115</v>
      </c>
      <c r="V61" s="285"/>
      <c r="W61" s="282"/>
      <c r="X61" s="282"/>
      <c r="Y61" s="282"/>
      <c r="Z61" s="282"/>
      <c r="AA61" s="282"/>
      <c r="AB61" s="289"/>
      <c r="AC61" s="285" t="s">
        <v>276</v>
      </c>
      <c r="AD61" s="282"/>
    </row>
    <row r="62" spans="2:30" x14ac:dyDescent="0.25">
      <c r="C62" s="282"/>
      <c r="D62" s="282" t="s">
        <v>273</v>
      </c>
      <c r="E62" s="287"/>
      <c r="F62" s="282"/>
      <c r="G62" s="282"/>
      <c r="H62" s="282">
        <v>0</v>
      </c>
      <c r="I62" s="290" t="s">
        <v>155</v>
      </c>
      <c r="J62" s="291">
        <v>250</v>
      </c>
      <c r="K62" s="292">
        <v>0</v>
      </c>
      <c r="L62" s="292">
        <v>0</v>
      </c>
      <c r="M62" s="292">
        <f>SUM(J62:L62)</f>
        <v>250</v>
      </c>
      <c r="N62" s="293">
        <v>0</v>
      </c>
      <c r="O62" s="294"/>
      <c r="P62" s="295"/>
      <c r="Q62" s="296"/>
      <c r="R62" s="282"/>
      <c r="S62" s="282"/>
      <c r="T62" s="282"/>
      <c r="U62" s="282"/>
      <c r="V62" s="282"/>
      <c r="W62" s="282"/>
      <c r="X62" s="282"/>
      <c r="Y62" s="282"/>
      <c r="Z62" s="282"/>
      <c r="AA62" s="285" t="s">
        <v>163</v>
      </c>
      <c r="AB62" s="285"/>
      <c r="AC62" s="285" t="s">
        <v>276</v>
      </c>
      <c r="AD62" s="282"/>
    </row>
    <row r="63" spans="2:30" ht="15.75" thickBot="1" x14ac:dyDescent="0.3">
      <c r="C63" s="282"/>
      <c r="D63" s="282" t="s">
        <v>274</v>
      </c>
      <c r="E63" s="297"/>
      <c r="F63" s="282"/>
      <c r="G63" s="283">
        <v>2</v>
      </c>
      <c r="H63" s="283">
        <f>G63*0.05</f>
        <v>0.1</v>
      </c>
      <c r="I63" s="298">
        <v>1</v>
      </c>
      <c r="J63" s="299">
        <v>250</v>
      </c>
      <c r="K63" s="300">
        <v>0</v>
      </c>
      <c r="L63" s="300">
        <v>0</v>
      </c>
      <c r="M63" s="300">
        <f t="shared" ref="M63:M71" si="20">SUM(J63:L63)</f>
        <v>250</v>
      </c>
      <c r="N63" s="301">
        <f>H63/M63</f>
        <v>4.0000000000000002E-4</v>
      </c>
      <c r="O63" s="302">
        <f>S63*$H63</f>
        <v>0.1</v>
      </c>
      <c r="P63" s="303">
        <f>T63*$H63</f>
        <v>0</v>
      </c>
      <c r="Q63" s="304">
        <f>U63*$H63</f>
        <v>0</v>
      </c>
      <c r="R63" s="282"/>
      <c r="S63" s="305">
        <f>J63/$M63</f>
        <v>1</v>
      </c>
      <c r="T63" s="305">
        <f>K63/$M63</f>
        <v>0</v>
      </c>
      <c r="U63" s="305">
        <f>L63/$M63</f>
        <v>0</v>
      </c>
      <c r="V63" s="306">
        <f>SUM(S63:U63)</f>
        <v>1</v>
      </c>
      <c r="W63" s="282"/>
      <c r="X63" s="285" t="s">
        <v>190</v>
      </c>
      <c r="Y63" s="285" t="s">
        <v>85</v>
      </c>
      <c r="Z63" s="285" t="s">
        <v>150</v>
      </c>
      <c r="AA63" s="285" t="s">
        <v>165</v>
      </c>
      <c r="AB63" s="285"/>
      <c r="AC63" s="285" t="s">
        <v>276</v>
      </c>
      <c r="AD63" s="282"/>
    </row>
    <row r="64" spans="2:30" x14ac:dyDescent="0.25">
      <c r="C64" s="282"/>
      <c r="D64" s="282"/>
      <c r="E64" s="307"/>
      <c r="F64" s="282"/>
      <c r="G64" s="284"/>
      <c r="H64" s="284">
        <v>1</v>
      </c>
      <c r="I64" s="290" t="s">
        <v>156</v>
      </c>
      <c r="J64" s="291">
        <v>250</v>
      </c>
      <c r="K64" s="291">
        <v>150</v>
      </c>
      <c r="L64" s="292">
        <v>0</v>
      </c>
      <c r="M64" s="292">
        <f t="shared" si="20"/>
        <v>400</v>
      </c>
      <c r="N64" s="293">
        <f>N63</f>
        <v>4.0000000000000002E-4</v>
      </c>
      <c r="O64" s="308"/>
      <c r="P64" s="309"/>
      <c r="Q64" s="310"/>
      <c r="R64" s="282"/>
      <c r="S64" s="305">
        <f t="shared" ref="S64:S71" si="21">J64/$M64</f>
        <v>0.625</v>
      </c>
      <c r="T64" s="305">
        <f t="shared" ref="T64:T71" si="22">K64/$M64</f>
        <v>0.375</v>
      </c>
      <c r="U64" s="305">
        <f t="shared" ref="U64:U71" si="23">L64/$M64</f>
        <v>0</v>
      </c>
      <c r="V64" s="306">
        <f t="shared" ref="V64:V71" si="24">SUM(S64:U64)</f>
        <v>1</v>
      </c>
      <c r="W64" s="282"/>
      <c r="X64" s="311">
        <v>0</v>
      </c>
      <c r="Y64" s="282">
        <v>4</v>
      </c>
      <c r="Z64" s="286">
        <v>250000000</v>
      </c>
      <c r="AA64" s="312">
        <f>(O63+O65+O67)*1000</f>
        <v>212.50000000000003</v>
      </c>
      <c r="AB64" s="313"/>
      <c r="AC64" s="285" t="s">
        <v>276</v>
      </c>
      <c r="AD64" s="282"/>
    </row>
    <row r="65" spans="2:30" ht="15.75" thickBot="1" x14ac:dyDescent="0.3">
      <c r="C65" s="282"/>
      <c r="D65" s="282"/>
      <c r="E65" s="282"/>
      <c r="F65" s="282"/>
      <c r="G65" s="283">
        <v>2</v>
      </c>
      <c r="H65" s="283">
        <f>G65*0.05</f>
        <v>0.1</v>
      </c>
      <c r="I65" s="298">
        <v>2</v>
      </c>
      <c r="J65" s="299">
        <v>250</v>
      </c>
      <c r="K65" s="299">
        <v>150</v>
      </c>
      <c r="L65" s="300">
        <v>0</v>
      </c>
      <c r="M65" s="300">
        <f t="shared" si="20"/>
        <v>400</v>
      </c>
      <c r="N65" s="301">
        <f>H65/M65+N63</f>
        <v>6.4999999999999997E-4</v>
      </c>
      <c r="O65" s="302">
        <f>S65*$H65</f>
        <v>6.25E-2</v>
      </c>
      <c r="P65" s="303">
        <f>T65*$H65</f>
        <v>3.7500000000000006E-2</v>
      </c>
      <c r="Q65" s="304">
        <f>U65*$H65</f>
        <v>0</v>
      </c>
      <c r="R65" s="314">
        <f>P65-P52</f>
        <v>0</v>
      </c>
      <c r="S65" s="305">
        <f t="shared" si="21"/>
        <v>0.625</v>
      </c>
      <c r="T65" s="305">
        <f t="shared" si="22"/>
        <v>0.375</v>
      </c>
      <c r="U65" s="305">
        <f t="shared" si="23"/>
        <v>0</v>
      </c>
      <c r="V65" s="306">
        <f t="shared" si="24"/>
        <v>1</v>
      </c>
      <c r="W65" s="286"/>
      <c r="X65" s="311">
        <v>1</v>
      </c>
      <c r="Y65" s="282">
        <v>5</v>
      </c>
      <c r="Z65" s="286">
        <v>150000000</v>
      </c>
      <c r="AA65" s="315">
        <f>(P65+P67+P69)*1000*2/3</f>
        <v>63.18181818181818</v>
      </c>
      <c r="AB65" s="313"/>
      <c r="AC65" s="285" t="s">
        <v>276</v>
      </c>
      <c r="AD65" s="282"/>
    </row>
    <row r="66" spans="2:30" x14ac:dyDescent="0.25">
      <c r="C66" s="282"/>
      <c r="D66" s="282"/>
      <c r="E66" s="282"/>
      <c r="F66" s="282"/>
      <c r="G66" s="284"/>
      <c r="H66" s="284">
        <v>1</v>
      </c>
      <c r="I66" s="290" t="s">
        <v>157</v>
      </c>
      <c r="J66" s="291">
        <v>250</v>
      </c>
      <c r="K66" s="291">
        <v>150</v>
      </c>
      <c r="L66" s="291">
        <v>100</v>
      </c>
      <c r="M66" s="292">
        <f t="shared" si="20"/>
        <v>500</v>
      </c>
      <c r="N66" s="293">
        <f>N65</f>
        <v>6.4999999999999997E-4</v>
      </c>
      <c r="O66" s="308"/>
      <c r="P66" s="309"/>
      <c r="Q66" s="310"/>
      <c r="R66" s="314">
        <f t="shared" ref="R66:R69" si="25">P66-P53</f>
        <v>0</v>
      </c>
      <c r="S66" s="305">
        <f t="shared" si="21"/>
        <v>0.5</v>
      </c>
      <c r="T66" s="305">
        <f t="shared" si="22"/>
        <v>0.3</v>
      </c>
      <c r="U66" s="305">
        <f t="shared" si="23"/>
        <v>0.2</v>
      </c>
      <c r="V66" s="306">
        <f t="shared" si="24"/>
        <v>1</v>
      </c>
      <c r="W66" s="286"/>
      <c r="X66" s="311">
        <v>0</v>
      </c>
      <c r="Y66" s="282">
        <v>6</v>
      </c>
      <c r="Z66" s="286">
        <v>200000000</v>
      </c>
      <c r="AA66" s="315">
        <f>(O69+O71)*1000</f>
        <v>153.23863636363635</v>
      </c>
      <c r="AB66" s="313"/>
      <c r="AC66" s="285" t="s">
        <v>276</v>
      </c>
      <c r="AD66" s="282"/>
    </row>
    <row r="67" spans="2:30" ht="15.75" thickBot="1" x14ac:dyDescent="0.3">
      <c r="C67" s="282"/>
      <c r="D67" s="282"/>
      <c r="E67" s="282"/>
      <c r="F67" s="282"/>
      <c r="G67" s="283">
        <v>2</v>
      </c>
      <c r="H67" s="283">
        <f>G67*0.05</f>
        <v>0.1</v>
      </c>
      <c r="I67" s="298">
        <v>3</v>
      </c>
      <c r="J67" s="299">
        <v>250</v>
      </c>
      <c r="K67" s="299">
        <v>150</v>
      </c>
      <c r="L67" s="299">
        <v>100</v>
      </c>
      <c r="M67" s="300">
        <f t="shared" si="20"/>
        <v>500</v>
      </c>
      <c r="N67" s="301">
        <f>H67/M67+N65</f>
        <v>8.4999999999999995E-4</v>
      </c>
      <c r="O67" s="302">
        <f>S67*$H67</f>
        <v>0.05</v>
      </c>
      <c r="P67" s="303">
        <f>T67*$H67</f>
        <v>0.03</v>
      </c>
      <c r="Q67" s="304">
        <f>U67*$H67</f>
        <v>2.0000000000000004E-2</v>
      </c>
      <c r="R67" s="314">
        <f t="shared" si="25"/>
        <v>0</v>
      </c>
      <c r="S67" s="305">
        <f t="shared" si="21"/>
        <v>0.5</v>
      </c>
      <c r="T67" s="305">
        <f t="shared" si="22"/>
        <v>0.3</v>
      </c>
      <c r="U67" s="305">
        <f t="shared" si="23"/>
        <v>0.2</v>
      </c>
      <c r="V67" s="306">
        <f t="shared" si="24"/>
        <v>1</v>
      </c>
      <c r="W67" s="286"/>
      <c r="X67" s="311">
        <v>2</v>
      </c>
      <c r="Y67" s="282">
        <v>6</v>
      </c>
      <c r="Z67" s="286">
        <v>100000000</v>
      </c>
      <c r="AA67" s="316">
        <f>(Q67+Q69+Q71)*1000</f>
        <v>71.079545454545467</v>
      </c>
      <c r="AB67" s="313"/>
      <c r="AC67" s="285" t="s">
        <v>276</v>
      </c>
      <c r="AD67" s="282"/>
    </row>
    <row r="68" spans="2:30" x14ac:dyDescent="0.25">
      <c r="C68" s="282"/>
      <c r="D68" s="282"/>
      <c r="E68" s="282"/>
      <c r="F68" s="317"/>
      <c r="G68" s="284"/>
      <c r="H68" s="284">
        <v>3</v>
      </c>
      <c r="I68" s="290" t="s">
        <v>158</v>
      </c>
      <c r="J68" s="291">
        <v>300</v>
      </c>
      <c r="K68" s="291">
        <v>150</v>
      </c>
      <c r="L68" s="291">
        <v>100</v>
      </c>
      <c r="M68" s="292">
        <f t="shared" si="20"/>
        <v>550</v>
      </c>
      <c r="N68" s="293">
        <f>N67</f>
        <v>8.4999999999999995E-4</v>
      </c>
      <c r="O68" s="308"/>
      <c r="P68" s="309"/>
      <c r="Q68" s="310"/>
      <c r="R68" s="314">
        <f t="shared" si="25"/>
        <v>0</v>
      </c>
      <c r="S68" s="305">
        <f t="shared" si="21"/>
        <v>0.54545454545454541</v>
      </c>
      <c r="T68" s="305">
        <f t="shared" si="22"/>
        <v>0.27272727272727271</v>
      </c>
      <c r="U68" s="305">
        <f t="shared" si="23"/>
        <v>0.18181818181818182</v>
      </c>
      <c r="V68" s="306">
        <f t="shared" si="24"/>
        <v>1</v>
      </c>
      <c r="W68" s="282"/>
      <c r="X68" s="311"/>
      <c r="Y68" s="282"/>
      <c r="Z68" s="286">
        <v>99999999</v>
      </c>
      <c r="AA68" s="313">
        <f>SUM(AA64:AA67)</f>
        <v>500</v>
      </c>
      <c r="AB68" s="288"/>
      <c r="AC68" s="285" t="s">
        <v>276</v>
      </c>
      <c r="AD68" s="282"/>
    </row>
    <row r="69" spans="2:30" ht="15.75" thickBot="1" x14ac:dyDescent="0.3">
      <c r="B69" s="1"/>
      <c r="C69" s="282"/>
      <c r="D69" s="282"/>
      <c r="E69" s="282"/>
      <c r="F69" s="282"/>
      <c r="G69" s="283">
        <v>2</v>
      </c>
      <c r="H69" s="283">
        <f>G69*0.05</f>
        <v>0.1</v>
      </c>
      <c r="I69" s="298">
        <v>4</v>
      </c>
      <c r="J69" s="299">
        <v>300</v>
      </c>
      <c r="K69" s="299">
        <v>150</v>
      </c>
      <c r="L69" s="299">
        <v>100</v>
      </c>
      <c r="M69" s="300">
        <f t="shared" si="20"/>
        <v>550</v>
      </c>
      <c r="N69" s="301">
        <f>(H69)/M69+N67</f>
        <v>1.0318181818181817E-3</v>
      </c>
      <c r="O69" s="302">
        <f>S69*$H69</f>
        <v>5.4545454545454543E-2</v>
      </c>
      <c r="P69" s="303">
        <f>T69*$H69</f>
        <v>2.7272727272727271E-2</v>
      </c>
      <c r="Q69" s="304">
        <f>U69*$H69</f>
        <v>1.8181818181818184E-2</v>
      </c>
      <c r="R69" s="314">
        <f t="shared" si="25"/>
        <v>0</v>
      </c>
      <c r="S69" s="305">
        <f t="shared" si="21"/>
        <v>0.54545454545454541</v>
      </c>
      <c r="T69" s="305">
        <f t="shared" si="22"/>
        <v>0.27272727272727271</v>
      </c>
      <c r="U69" s="305">
        <f t="shared" si="23"/>
        <v>0.18181818181818182</v>
      </c>
      <c r="V69" s="306">
        <f t="shared" si="24"/>
        <v>1</v>
      </c>
      <c r="W69" s="288"/>
      <c r="X69" s="282"/>
      <c r="Y69" s="289"/>
      <c r="Z69" s="289"/>
      <c r="AA69" s="289"/>
      <c r="AB69" s="282"/>
      <c r="AC69" s="285" t="s">
        <v>276</v>
      </c>
      <c r="AD69" s="282"/>
    </row>
    <row r="70" spans="2:30" x14ac:dyDescent="0.25">
      <c r="C70" s="282"/>
      <c r="D70" s="282"/>
      <c r="E70" s="282"/>
      <c r="F70" s="282"/>
      <c r="G70" s="284"/>
      <c r="H70" s="284">
        <v>4</v>
      </c>
      <c r="I70" s="290" t="s">
        <v>159</v>
      </c>
      <c r="J70" s="291">
        <v>300</v>
      </c>
      <c r="K70" s="291">
        <v>0</v>
      </c>
      <c r="L70" s="291">
        <v>100</v>
      </c>
      <c r="M70" s="292">
        <f t="shared" si="20"/>
        <v>400</v>
      </c>
      <c r="N70" s="293">
        <f>N69</f>
        <v>1.0318181818181817E-3</v>
      </c>
      <c r="O70" s="308"/>
      <c r="P70" s="309"/>
      <c r="Q70" s="310"/>
      <c r="R70" s="282"/>
      <c r="S70" s="305">
        <f t="shared" si="21"/>
        <v>0.75</v>
      </c>
      <c r="T70" s="305">
        <f t="shared" si="22"/>
        <v>0</v>
      </c>
      <c r="U70" s="305">
        <f t="shared" si="23"/>
        <v>0.25</v>
      </c>
      <c r="V70" s="306">
        <f t="shared" si="24"/>
        <v>1</v>
      </c>
      <c r="W70" s="288"/>
      <c r="X70" s="282"/>
      <c r="Y70" s="282"/>
      <c r="Z70" s="282"/>
      <c r="AA70" s="282"/>
      <c r="AB70" s="282"/>
      <c r="AC70" s="285" t="s">
        <v>276</v>
      </c>
      <c r="AD70" s="282"/>
    </row>
    <row r="71" spans="2:30" ht="15.75" thickBot="1" x14ac:dyDescent="0.3">
      <c r="B71" s="1"/>
      <c r="C71" s="282"/>
      <c r="D71" s="282"/>
      <c r="E71" s="282"/>
      <c r="F71" s="282"/>
      <c r="G71" s="283">
        <v>2</v>
      </c>
      <c r="H71" s="283">
        <f>G71*0.05+(P69+P67+P65)/3</f>
        <v>0.13159090909090909</v>
      </c>
      <c r="I71" s="298">
        <v>5</v>
      </c>
      <c r="J71" s="299">
        <v>300</v>
      </c>
      <c r="K71" s="300">
        <v>0</v>
      </c>
      <c r="L71" s="299">
        <v>100</v>
      </c>
      <c r="M71" s="300">
        <f t="shared" si="20"/>
        <v>400</v>
      </c>
      <c r="N71" s="301">
        <f>H71/M71+N69</f>
        <v>1.3607954545454544E-3</v>
      </c>
      <c r="O71" s="302">
        <f>S71*$H71</f>
        <v>9.8693181818181819E-2</v>
      </c>
      <c r="P71" s="303">
        <f>T71*$H71</f>
        <v>0</v>
      </c>
      <c r="Q71" s="304">
        <f>U71*$H71</f>
        <v>3.2897727272727273E-2</v>
      </c>
      <c r="R71" s="282"/>
      <c r="S71" s="305">
        <f t="shared" si="21"/>
        <v>0.75</v>
      </c>
      <c r="T71" s="305">
        <f t="shared" si="22"/>
        <v>0</v>
      </c>
      <c r="U71" s="305">
        <f t="shared" si="23"/>
        <v>0.25</v>
      </c>
      <c r="V71" s="306">
        <f t="shared" si="24"/>
        <v>1</v>
      </c>
      <c r="W71" s="288"/>
      <c r="X71" s="282"/>
      <c r="Y71" s="282"/>
      <c r="Z71" s="282"/>
      <c r="AA71" s="282"/>
      <c r="AB71" s="282"/>
      <c r="AC71" s="285" t="s">
        <v>276</v>
      </c>
      <c r="AD71" s="282"/>
    </row>
    <row r="72" spans="2:30" x14ac:dyDescent="0.25">
      <c r="C72" s="282"/>
      <c r="D72" s="282"/>
      <c r="E72" s="282"/>
      <c r="F72" s="283"/>
      <c r="G72" s="284"/>
      <c r="H72" s="284">
        <v>5</v>
      </c>
      <c r="I72" s="285" t="s">
        <v>160</v>
      </c>
      <c r="J72" s="286">
        <v>0</v>
      </c>
      <c r="K72" s="286">
        <v>0</v>
      </c>
      <c r="L72" s="286">
        <v>0</v>
      </c>
      <c r="M72" s="286">
        <v>0</v>
      </c>
      <c r="N72" s="287">
        <f>N71</f>
        <v>1.3607954545454544E-3</v>
      </c>
      <c r="O72" s="282"/>
      <c r="P72" s="282"/>
      <c r="Q72" s="282"/>
      <c r="R72" s="282"/>
      <c r="S72" s="282"/>
      <c r="T72" s="282"/>
      <c r="U72" s="282"/>
      <c r="V72" s="282"/>
      <c r="W72" s="288"/>
      <c r="X72" s="282"/>
      <c r="Y72" s="282"/>
      <c r="Z72" s="282"/>
      <c r="AA72" s="282"/>
      <c r="AB72" s="282"/>
      <c r="AC72" s="285" t="s">
        <v>276</v>
      </c>
      <c r="AD72" s="282"/>
    </row>
    <row r="73" spans="2:30" x14ac:dyDescent="0.25">
      <c r="B73" s="1"/>
      <c r="C73" s="282"/>
      <c r="D73" s="282"/>
      <c r="E73" s="282"/>
      <c r="F73" s="283"/>
      <c r="G73" s="284"/>
      <c r="H73" s="284"/>
      <c r="I73" s="285"/>
      <c r="J73" s="286"/>
      <c r="K73" s="286"/>
      <c r="L73" s="286"/>
      <c r="M73" s="286"/>
      <c r="N73" s="287"/>
      <c r="O73" s="282"/>
      <c r="P73" s="282"/>
      <c r="Q73" s="282"/>
      <c r="R73" s="282"/>
      <c r="S73" s="282"/>
      <c r="T73" s="282"/>
      <c r="U73" s="282"/>
      <c r="V73" s="282"/>
      <c r="W73" s="288"/>
      <c r="X73" s="282"/>
      <c r="Y73" s="282"/>
      <c r="Z73" s="282"/>
      <c r="AA73" s="282"/>
      <c r="AB73" s="282"/>
      <c r="AC73" s="285" t="s">
        <v>276</v>
      </c>
      <c r="AD73" s="282"/>
    </row>
    <row r="74" spans="2:30" x14ac:dyDescent="0.25">
      <c r="C74" s="282"/>
      <c r="D74" s="282"/>
      <c r="E74" s="282"/>
      <c r="F74" s="283"/>
      <c r="G74" s="284"/>
      <c r="H74" s="284"/>
      <c r="I74" s="285"/>
      <c r="J74" s="286"/>
      <c r="K74" s="286"/>
      <c r="L74" s="286"/>
      <c r="M74" s="286"/>
      <c r="N74" s="287"/>
      <c r="O74" s="282"/>
      <c r="P74" s="282"/>
      <c r="Q74" s="282"/>
      <c r="R74" s="282"/>
      <c r="S74" s="282"/>
      <c r="T74" s="282"/>
      <c r="U74" s="282"/>
      <c r="V74" s="282"/>
      <c r="W74" s="288"/>
      <c r="X74" s="282"/>
      <c r="Y74" s="282"/>
      <c r="Z74" s="282"/>
      <c r="AA74" s="282"/>
      <c r="AB74" s="282"/>
      <c r="AC74" s="285" t="s">
        <v>276</v>
      </c>
      <c r="AD74" s="282"/>
    </row>
    <row r="75" spans="2:30" x14ac:dyDescent="0.25">
      <c r="C75" s="48"/>
      <c r="D75" s="48"/>
      <c r="E75" s="48"/>
      <c r="F75" s="320"/>
      <c r="G75" s="321"/>
      <c r="H75" s="321"/>
      <c r="I75" s="48"/>
      <c r="J75" s="48"/>
      <c r="K75" s="48"/>
      <c r="L75" s="322"/>
      <c r="M75" s="322"/>
      <c r="N75" s="322"/>
      <c r="O75" s="322"/>
      <c r="P75" s="321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323" t="s">
        <v>237</v>
      </c>
      <c r="AB75" s="48"/>
      <c r="AC75" s="324"/>
    </row>
    <row r="76" spans="2:30" ht="15.75" thickBot="1" x14ac:dyDescent="0.3">
      <c r="B76" s="1"/>
      <c r="C76" s="48"/>
      <c r="D76" s="48"/>
      <c r="E76" s="48"/>
      <c r="F76" s="320"/>
      <c r="G76" s="324" t="s">
        <v>86</v>
      </c>
      <c r="H76" s="324" t="s">
        <v>87</v>
      </c>
      <c r="I76" s="324" t="s">
        <v>85</v>
      </c>
      <c r="J76" s="324" t="s">
        <v>161</v>
      </c>
      <c r="K76" s="324" t="s">
        <v>162</v>
      </c>
      <c r="L76" s="324" t="s">
        <v>54</v>
      </c>
      <c r="M76" s="324" t="s">
        <v>228</v>
      </c>
      <c r="N76" s="324" t="s">
        <v>230</v>
      </c>
      <c r="O76" s="324" t="s">
        <v>231</v>
      </c>
      <c r="P76" s="324"/>
      <c r="Q76" s="324" t="s">
        <v>161</v>
      </c>
      <c r="R76" s="324" t="s">
        <v>162</v>
      </c>
      <c r="S76" s="324" t="s">
        <v>54</v>
      </c>
      <c r="T76" s="324" t="s">
        <v>228</v>
      </c>
      <c r="U76" s="324" t="s">
        <v>82</v>
      </c>
      <c r="V76" s="324" t="s">
        <v>114</v>
      </c>
      <c r="W76" s="324" t="s">
        <v>115</v>
      </c>
      <c r="X76" s="324" t="s">
        <v>229</v>
      </c>
      <c r="Y76" s="48"/>
      <c r="Z76" s="48"/>
      <c r="AA76" s="48"/>
      <c r="AB76" s="48"/>
      <c r="AC76" s="324" t="s">
        <v>279</v>
      </c>
    </row>
    <row r="77" spans="2:30" ht="15.75" thickBot="1" x14ac:dyDescent="0.3">
      <c r="C77" s="48"/>
      <c r="D77" s="48" t="s">
        <v>278</v>
      </c>
      <c r="E77" s="48"/>
      <c r="F77" s="320"/>
      <c r="G77" s="48"/>
      <c r="H77" s="48">
        <v>0</v>
      </c>
      <c r="I77" s="325" t="s">
        <v>155</v>
      </c>
      <c r="J77" s="326">
        <v>250</v>
      </c>
      <c r="K77" s="327">
        <v>0</v>
      </c>
      <c r="L77" s="327">
        <v>0</v>
      </c>
      <c r="M77" s="327"/>
      <c r="N77" s="328">
        <f t="shared" ref="N77:N86" si="26">SUM(J77:M77)</f>
        <v>250</v>
      </c>
      <c r="O77" s="329">
        <v>0</v>
      </c>
      <c r="P77" s="330"/>
      <c r="Q77" s="331"/>
      <c r="R77" s="332"/>
      <c r="S77" s="333"/>
      <c r="T77" s="48"/>
      <c r="U77" s="48"/>
      <c r="V77" s="48"/>
      <c r="W77" s="48"/>
      <c r="X77" s="48"/>
      <c r="Y77" s="48"/>
      <c r="Z77" s="48"/>
      <c r="AA77" s="334">
        <v>4</v>
      </c>
      <c r="AB77" s="335">
        <f>T80</f>
        <v>4.7619047619047623E-3</v>
      </c>
      <c r="AC77" s="324" t="s">
        <v>279</v>
      </c>
    </row>
    <row r="78" spans="2:30" ht="15.75" thickBot="1" x14ac:dyDescent="0.3">
      <c r="C78" s="48"/>
      <c r="D78" s="48"/>
      <c r="E78" s="48"/>
      <c r="F78" s="320"/>
      <c r="G78" s="336">
        <v>2</v>
      </c>
      <c r="H78" s="336">
        <f>G78*0.05</f>
        <v>0.1</v>
      </c>
      <c r="I78" s="337">
        <v>1</v>
      </c>
      <c r="J78" s="338">
        <v>250</v>
      </c>
      <c r="K78" s="328">
        <v>0</v>
      </c>
      <c r="L78" s="328">
        <v>0</v>
      </c>
      <c r="M78" s="328"/>
      <c r="N78" s="328">
        <f t="shared" si="26"/>
        <v>250</v>
      </c>
      <c r="O78" s="339">
        <f>H78/N78</f>
        <v>4.0000000000000002E-4</v>
      </c>
      <c r="P78" s="340"/>
      <c r="Q78" s="341">
        <f>U78*$H78</f>
        <v>0.1</v>
      </c>
      <c r="R78" s="342">
        <f>V78*$H78</f>
        <v>0</v>
      </c>
      <c r="S78" s="343">
        <f>W78*$H78</f>
        <v>0</v>
      </c>
      <c r="T78" s="343">
        <f>X78*$H78</f>
        <v>0</v>
      </c>
      <c r="U78" s="344">
        <f t="shared" ref="U78:U86" si="27">J78/$N78</f>
        <v>1</v>
      </c>
      <c r="V78" s="344">
        <f t="shared" ref="V78:V86" si="28">K78/$N78</f>
        <v>0</v>
      </c>
      <c r="W78" s="344">
        <f t="shared" ref="W78:W86" si="29">L78/$N78</f>
        <v>0</v>
      </c>
      <c r="X78" s="344">
        <f t="shared" ref="X78:X86" si="30">M78/$N78</f>
        <v>0</v>
      </c>
      <c r="Y78" s="345">
        <f t="shared" ref="Y78:Y86" si="31">SUM(U78:X78)</f>
        <v>1</v>
      </c>
      <c r="Z78" s="48"/>
      <c r="AA78" s="346">
        <v>4</v>
      </c>
      <c r="AB78" s="347">
        <f>T82</f>
        <v>7.4074074074074077E-3</v>
      </c>
      <c r="AC78" s="324" t="s">
        <v>279</v>
      </c>
    </row>
    <row r="79" spans="2:30" ht="15.75" thickBot="1" x14ac:dyDescent="0.3">
      <c r="C79" s="48"/>
      <c r="D79" s="48"/>
      <c r="E79" s="48"/>
      <c r="F79" s="320"/>
      <c r="G79" s="322"/>
      <c r="H79" s="322"/>
      <c r="I79" s="325" t="s">
        <v>156</v>
      </c>
      <c r="J79" s="326">
        <v>250</v>
      </c>
      <c r="K79" s="326">
        <v>150</v>
      </c>
      <c r="L79" s="327">
        <v>0</v>
      </c>
      <c r="M79" s="327">
        <v>20</v>
      </c>
      <c r="N79" s="328">
        <f t="shared" si="26"/>
        <v>420</v>
      </c>
      <c r="O79" s="329">
        <f>O78</f>
        <v>4.0000000000000002E-4</v>
      </c>
      <c r="P79" s="330"/>
      <c r="Q79" s="348"/>
      <c r="R79" s="349"/>
      <c r="S79" s="350"/>
      <c r="T79" s="350"/>
      <c r="U79" s="344">
        <f t="shared" si="27"/>
        <v>0.59523809523809523</v>
      </c>
      <c r="V79" s="344">
        <f t="shared" si="28"/>
        <v>0.35714285714285715</v>
      </c>
      <c r="W79" s="344">
        <f t="shared" si="29"/>
        <v>0</v>
      </c>
      <c r="X79" s="344">
        <f t="shared" si="30"/>
        <v>4.7619047619047616E-2</v>
      </c>
      <c r="Y79" s="345">
        <f t="shared" si="31"/>
        <v>1</v>
      </c>
      <c r="Z79" s="48"/>
      <c r="AA79" s="346">
        <v>4</v>
      </c>
      <c r="AB79" s="347">
        <f>T84</f>
        <v>1.0714285714285714E-2</v>
      </c>
      <c r="AC79" s="324" t="s">
        <v>279</v>
      </c>
    </row>
    <row r="80" spans="2:30" ht="15.75" thickBot="1" x14ac:dyDescent="0.3">
      <c r="C80" s="48"/>
      <c r="D80" s="48"/>
      <c r="E80" s="48"/>
      <c r="F80" s="320"/>
      <c r="G80" s="336">
        <v>2</v>
      </c>
      <c r="H80" s="336">
        <f>G80*0.05</f>
        <v>0.1</v>
      </c>
      <c r="I80" s="337">
        <v>2</v>
      </c>
      <c r="J80" s="338">
        <v>250</v>
      </c>
      <c r="K80" s="338">
        <v>150</v>
      </c>
      <c r="L80" s="328">
        <v>0</v>
      </c>
      <c r="M80" s="328">
        <v>20</v>
      </c>
      <c r="N80" s="328">
        <f t="shared" si="26"/>
        <v>420</v>
      </c>
      <c r="O80" s="339">
        <f>H80/N80+O78</f>
        <v>6.3809523809523817E-4</v>
      </c>
      <c r="P80" s="340"/>
      <c r="Q80" s="341">
        <f>U80*$H80</f>
        <v>5.9523809523809527E-2</v>
      </c>
      <c r="R80" s="342">
        <f>V80*$H80</f>
        <v>3.5714285714285719E-2</v>
      </c>
      <c r="S80" s="343">
        <f>W80*$H80</f>
        <v>0</v>
      </c>
      <c r="T80" s="351">
        <f>X80*$H80</f>
        <v>4.7619047619047623E-3</v>
      </c>
      <c r="U80" s="344">
        <f t="shared" si="27"/>
        <v>0.59523809523809523</v>
      </c>
      <c r="V80" s="344">
        <f t="shared" si="28"/>
        <v>0.35714285714285715</v>
      </c>
      <c r="W80" s="344">
        <f t="shared" si="29"/>
        <v>0</v>
      </c>
      <c r="X80" s="344">
        <f t="shared" si="30"/>
        <v>4.7619047619047616E-2</v>
      </c>
      <c r="Y80" s="345">
        <f t="shared" si="31"/>
        <v>1</v>
      </c>
      <c r="Z80" s="48"/>
      <c r="AA80" s="346">
        <v>1</v>
      </c>
      <c r="AB80" s="347">
        <f>R80+R82+R84</f>
        <v>9.027777777777779E-2</v>
      </c>
      <c r="AC80" s="324" t="s">
        <v>279</v>
      </c>
    </row>
    <row r="81" spans="3:30" ht="15.75" thickBot="1" x14ac:dyDescent="0.3">
      <c r="C81" s="48"/>
      <c r="D81" s="48"/>
      <c r="E81" s="48"/>
      <c r="F81" s="320"/>
      <c r="G81" s="322"/>
      <c r="H81" s="322"/>
      <c r="I81" s="325" t="s">
        <v>157</v>
      </c>
      <c r="J81" s="326">
        <v>250</v>
      </c>
      <c r="K81" s="326">
        <v>150</v>
      </c>
      <c r="L81" s="326">
        <v>100</v>
      </c>
      <c r="M81" s="326">
        <v>40</v>
      </c>
      <c r="N81" s="328">
        <f t="shared" si="26"/>
        <v>540</v>
      </c>
      <c r="O81" s="329">
        <f>O80</f>
        <v>6.3809523809523817E-4</v>
      </c>
      <c r="P81" s="330"/>
      <c r="Q81" s="348"/>
      <c r="R81" s="349"/>
      <c r="S81" s="350"/>
      <c r="T81" s="335"/>
      <c r="U81" s="344">
        <f t="shared" si="27"/>
        <v>0.46296296296296297</v>
      </c>
      <c r="V81" s="344">
        <f t="shared" si="28"/>
        <v>0.27777777777777779</v>
      </c>
      <c r="W81" s="344">
        <f t="shared" si="29"/>
        <v>0.18518518518518517</v>
      </c>
      <c r="X81" s="344">
        <f t="shared" si="30"/>
        <v>7.407407407407407E-2</v>
      </c>
      <c r="Y81" s="345">
        <f t="shared" si="31"/>
        <v>0.99999999999999989</v>
      </c>
      <c r="Z81" s="48"/>
      <c r="AA81" s="346">
        <v>4</v>
      </c>
      <c r="AB81" s="347">
        <f>T86</f>
        <v>1.8604651162790697E-2</v>
      </c>
      <c r="AC81" s="324" t="s">
        <v>279</v>
      </c>
    </row>
    <row r="82" spans="3:30" ht="15.75" thickBot="1" x14ac:dyDescent="0.3">
      <c r="C82" s="48"/>
      <c r="D82" s="48"/>
      <c r="E82" s="48"/>
      <c r="F82" s="320"/>
      <c r="G82" s="336">
        <v>2</v>
      </c>
      <c r="H82" s="336">
        <f>G82*0.05</f>
        <v>0.1</v>
      </c>
      <c r="I82" s="337">
        <v>3</v>
      </c>
      <c r="J82" s="338">
        <v>250</v>
      </c>
      <c r="K82" s="338">
        <v>150</v>
      </c>
      <c r="L82" s="338">
        <v>100</v>
      </c>
      <c r="M82" s="338">
        <v>40</v>
      </c>
      <c r="N82" s="328">
        <f t="shared" si="26"/>
        <v>540</v>
      </c>
      <c r="O82" s="339">
        <f>H82/N82+O80</f>
        <v>8.2328042328042332E-4</v>
      </c>
      <c r="P82" s="352">
        <v>560000000</v>
      </c>
      <c r="Q82" s="341">
        <f>U82*$H82</f>
        <v>4.6296296296296301E-2</v>
      </c>
      <c r="R82" s="342">
        <f>V82*$H82</f>
        <v>2.777777777777778E-2</v>
      </c>
      <c r="S82" s="343">
        <f>W82*$H82</f>
        <v>1.8518518518518517E-2</v>
      </c>
      <c r="T82" s="351">
        <f>X82*$H82</f>
        <v>7.4074074074074077E-3</v>
      </c>
      <c r="U82" s="344">
        <f t="shared" si="27"/>
        <v>0.46296296296296297</v>
      </c>
      <c r="V82" s="344">
        <f t="shared" si="28"/>
        <v>0.27777777777777779</v>
      </c>
      <c r="W82" s="344">
        <f t="shared" si="29"/>
        <v>0.18518518518518517</v>
      </c>
      <c r="X82" s="344">
        <f t="shared" si="30"/>
        <v>7.407407407407407E-2</v>
      </c>
      <c r="Y82" s="345">
        <f t="shared" si="31"/>
        <v>0.99999999999999989</v>
      </c>
      <c r="Z82" s="48"/>
      <c r="AA82" s="346">
        <v>0</v>
      </c>
      <c r="AB82" s="347">
        <f>Q84+Q86+Q82+Q80+Q78</f>
        <v>0.30860249784668392</v>
      </c>
      <c r="AC82" s="324" t="s">
        <v>279</v>
      </c>
    </row>
    <row r="83" spans="3:30" ht="15.75" thickBot="1" x14ac:dyDescent="0.3">
      <c r="C83" s="48"/>
      <c r="D83" s="48"/>
      <c r="E83" s="48"/>
      <c r="F83" s="320"/>
      <c r="G83" s="322"/>
      <c r="H83" s="322"/>
      <c r="I83" s="325" t="s">
        <v>158</v>
      </c>
      <c r="J83" s="338">
        <v>250</v>
      </c>
      <c r="K83" s="326">
        <v>150</v>
      </c>
      <c r="L83" s="326">
        <v>100</v>
      </c>
      <c r="M83" s="326">
        <v>60</v>
      </c>
      <c r="N83" s="328">
        <f t="shared" si="26"/>
        <v>560</v>
      </c>
      <c r="O83" s="329">
        <f>O82</f>
        <v>8.2328042328042332E-4</v>
      </c>
      <c r="P83" s="330"/>
      <c r="Q83" s="348"/>
      <c r="R83" s="349"/>
      <c r="S83" s="350"/>
      <c r="T83" s="335"/>
      <c r="U83" s="344">
        <f t="shared" si="27"/>
        <v>0.44642857142857145</v>
      </c>
      <c r="V83" s="344">
        <f t="shared" si="28"/>
        <v>0.26785714285714285</v>
      </c>
      <c r="W83" s="344">
        <f t="shared" si="29"/>
        <v>0.17857142857142858</v>
      </c>
      <c r="X83" s="344">
        <f t="shared" si="30"/>
        <v>0.10714285714285714</v>
      </c>
      <c r="Y83" s="345">
        <f t="shared" si="31"/>
        <v>1</v>
      </c>
      <c r="Z83" s="48"/>
      <c r="AA83" s="353">
        <v>2</v>
      </c>
      <c r="AB83" s="351">
        <f>S82+S84+S86</f>
        <v>5.9631475329149752E-2</v>
      </c>
      <c r="AC83" s="324" t="s">
        <v>279</v>
      </c>
    </row>
    <row r="84" spans="3:30" ht="15.75" thickBot="1" x14ac:dyDescent="0.3">
      <c r="C84" s="48"/>
      <c r="D84" s="48"/>
      <c r="E84" s="48"/>
      <c r="F84" s="320"/>
      <c r="G84" s="336">
        <v>2</v>
      </c>
      <c r="H84" s="336">
        <f>G84*0.05</f>
        <v>0.1</v>
      </c>
      <c r="I84" s="337">
        <v>4</v>
      </c>
      <c r="J84" s="338">
        <v>250</v>
      </c>
      <c r="K84" s="338">
        <v>150</v>
      </c>
      <c r="L84" s="338">
        <v>100</v>
      </c>
      <c r="M84" s="338">
        <v>60</v>
      </c>
      <c r="N84" s="354">
        <f t="shared" si="26"/>
        <v>560</v>
      </c>
      <c r="O84" s="355">
        <f>H84/N84+O82</f>
        <v>1.0018518518518519E-3</v>
      </c>
      <c r="P84" s="356"/>
      <c r="Q84" s="357">
        <f>U84*$H84</f>
        <v>4.4642857142857151E-2</v>
      </c>
      <c r="R84" s="358">
        <f>V84*$H84</f>
        <v>2.6785714285714288E-2</v>
      </c>
      <c r="S84" s="359">
        <f>W84*$H84</f>
        <v>1.785714285714286E-2</v>
      </c>
      <c r="T84" s="360">
        <f>X84*$H84</f>
        <v>1.0714285714285714E-2</v>
      </c>
      <c r="U84" s="344">
        <f t="shared" si="27"/>
        <v>0.44642857142857145</v>
      </c>
      <c r="V84" s="344">
        <f t="shared" si="28"/>
        <v>0.26785714285714285</v>
      </c>
      <c r="W84" s="344">
        <f t="shared" si="29"/>
        <v>0.17857142857142858</v>
      </c>
      <c r="X84" s="344">
        <f t="shared" si="30"/>
        <v>0.10714285714285714</v>
      </c>
      <c r="Y84" s="345">
        <f t="shared" si="31"/>
        <v>1</v>
      </c>
      <c r="Z84" s="48"/>
      <c r="AA84" s="48" t="s">
        <v>277</v>
      </c>
      <c r="AB84" s="361">
        <f>SUM(AB77:AB83)</f>
        <v>0.5</v>
      </c>
      <c r="AC84" s="324" t="s">
        <v>279</v>
      </c>
    </row>
    <row r="85" spans="3:30" ht="15.75" thickBot="1" x14ac:dyDescent="0.3">
      <c r="C85" s="48"/>
      <c r="D85" s="48"/>
      <c r="E85" s="48"/>
      <c r="F85" s="48"/>
      <c r="G85" s="322"/>
      <c r="H85" s="322">
        <v>4</v>
      </c>
      <c r="I85" s="325" t="s">
        <v>159</v>
      </c>
      <c r="J85" s="338">
        <v>250</v>
      </c>
      <c r="K85" s="326">
        <v>0</v>
      </c>
      <c r="L85" s="326">
        <v>100</v>
      </c>
      <c r="M85" s="326">
        <v>80</v>
      </c>
      <c r="N85" s="354">
        <f t="shared" si="26"/>
        <v>430</v>
      </c>
      <c r="O85" s="362">
        <f>O84</f>
        <v>1.0018518518518519E-3</v>
      </c>
      <c r="P85" s="363"/>
      <c r="Q85" s="364"/>
      <c r="R85" s="365"/>
      <c r="S85" s="366"/>
      <c r="T85" s="367"/>
      <c r="U85" s="344">
        <f t="shared" si="27"/>
        <v>0.58139534883720934</v>
      </c>
      <c r="V85" s="344">
        <f t="shared" si="28"/>
        <v>0</v>
      </c>
      <c r="W85" s="344">
        <f t="shared" si="29"/>
        <v>0.23255813953488372</v>
      </c>
      <c r="X85" s="344">
        <f t="shared" si="30"/>
        <v>0.18604651162790697</v>
      </c>
      <c r="Y85" s="345">
        <f t="shared" si="31"/>
        <v>1</v>
      </c>
      <c r="Z85" s="48"/>
      <c r="AA85" s="48"/>
      <c r="AB85" s="48"/>
      <c r="AC85" s="324" t="s">
        <v>279</v>
      </c>
    </row>
    <row r="86" spans="3:30" ht="15.75" thickBot="1" x14ac:dyDescent="0.3">
      <c r="C86" s="48"/>
      <c r="D86" s="48"/>
      <c r="E86" s="48"/>
      <c r="F86" s="48"/>
      <c r="G86" s="336">
        <v>2</v>
      </c>
      <c r="H86" s="336">
        <f>G86*0.05</f>
        <v>0.1</v>
      </c>
      <c r="I86" s="337">
        <v>5</v>
      </c>
      <c r="J86" s="338">
        <v>250</v>
      </c>
      <c r="K86" s="328">
        <v>0</v>
      </c>
      <c r="L86" s="338">
        <v>100</v>
      </c>
      <c r="M86" s="338">
        <v>80</v>
      </c>
      <c r="N86" s="328">
        <f t="shared" si="26"/>
        <v>430</v>
      </c>
      <c r="O86" s="339">
        <f>H86/N86+O84</f>
        <v>1.2344099913867356E-3</v>
      </c>
      <c r="P86" s="340"/>
      <c r="Q86" s="341">
        <f>U86*$H86</f>
        <v>5.8139534883720936E-2</v>
      </c>
      <c r="R86" s="342">
        <f>V86*$H86</f>
        <v>0</v>
      </c>
      <c r="S86" s="343">
        <f>W86*$H86</f>
        <v>2.3255813953488372E-2</v>
      </c>
      <c r="T86" s="351">
        <f>X86*$H86</f>
        <v>1.8604651162790697E-2</v>
      </c>
      <c r="U86" s="344">
        <f t="shared" si="27"/>
        <v>0.58139534883720934</v>
      </c>
      <c r="V86" s="344">
        <f t="shared" si="28"/>
        <v>0</v>
      </c>
      <c r="W86" s="344">
        <f t="shared" si="29"/>
        <v>0.23255813953488372</v>
      </c>
      <c r="X86" s="344">
        <f t="shared" si="30"/>
        <v>0.18604651162790697</v>
      </c>
      <c r="Y86" s="345">
        <f t="shared" si="31"/>
        <v>1</v>
      </c>
      <c r="Z86" s="48"/>
      <c r="AA86" s="48"/>
      <c r="AB86" s="48"/>
      <c r="AC86" s="324" t="s">
        <v>279</v>
      </c>
    </row>
    <row r="87" spans="3:30" x14ac:dyDescent="0.25">
      <c r="C87" s="48"/>
      <c r="D87" s="48"/>
      <c r="E87" s="48"/>
      <c r="F87" s="48"/>
      <c r="G87" s="322"/>
      <c r="H87" s="322">
        <v>5</v>
      </c>
      <c r="I87" s="324" t="s">
        <v>160</v>
      </c>
      <c r="J87" s="320">
        <v>0</v>
      </c>
      <c r="K87" s="320">
        <v>0</v>
      </c>
      <c r="L87" s="320">
        <v>0</v>
      </c>
      <c r="M87" s="320">
        <v>100</v>
      </c>
      <c r="N87" s="320">
        <v>0</v>
      </c>
      <c r="O87" s="352">
        <f>O86</f>
        <v>1.2344099913867356E-3</v>
      </c>
      <c r="P87" s="352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324"/>
    </row>
    <row r="88" spans="3:30" x14ac:dyDescent="0.25">
      <c r="C88" s="48"/>
      <c r="D88" s="48"/>
      <c r="E88" s="48"/>
      <c r="F88" s="48"/>
      <c r="G88" s="48"/>
      <c r="H88" s="48"/>
      <c r="I88" s="320"/>
      <c r="J88" s="323"/>
      <c r="K88" s="48"/>
      <c r="L88" s="48"/>
      <c r="M88" s="48"/>
      <c r="N88" s="344"/>
      <c r="O88" s="344"/>
      <c r="P88" s="344"/>
      <c r="Q88" s="320"/>
      <c r="R88" s="320"/>
      <c r="S88" s="320"/>
      <c r="T88" s="320"/>
      <c r="U88" s="321"/>
      <c r="V88" s="321"/>
      <c r="W88" s="321"/>
      <c r="X88" s="48"/>
      <c r="Y88" s="48"/>
      <c r="Z88" s="48"/>
      <c r="AA88" s="48"/>
      <c r="AB88" s="48"/>
      <c r="AC88" s="324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319"/>
      <c r="K116" s="319"/>
      <c r="L116" s="319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zoomScale="75" zoomScaleNormal="75" workbookViewId="0">
      <selection activeCell="O14" sqref="O14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8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5" x14ac:dyDescent="0.25">
      <c r="B1" s="1" t="s">
        <v>45</v>
      </c>
    </row>
    <row r="2" spans="2:25" x14ac:dyDescent="0.25">
      <c r="L2" s="8"/>
      <c r="O2" t="s">
        <v>100</v>
      </c>
      <c r="S2" t="s">
        <v>101</v>
      </c>
    </row>
    <row r="3" spans="2:25" x14ac:dyDescent="0.25">
      <c r="B3" s="1" t="s">
        <v>55</v>
      </c>
    </row>
    <row r="5" spans="2:25" x14ac:dyDescent="0.25">
      <c r="B5" s="1" t="s">
        <v>59</v>
      </c>
      <c r="F5" s="1">
        <v>1</v>
      </c>
    </row>
    <row r="6" spans="2:25" x14ac:dyDescent="0.25">
      <c r="C6" t="s">
        <v>57</v>
      </c>
      <c r="F6" s="1"/>
    </row>
    <row r="7" spans="2:25" x14ac:dyDescent="0.25">
      <c r="C7" t="s">
        <v>58</v>
      </c>
      <c r="F7" s="1">
        <v>2</v>
      </c>
    </row>
    <row r="8" spans="2:25" x14ac:dyDescent="0.25">
      <c r="C8" t="s">
        <v>56</v>
      </c>
      <c r="F8" s="1"/>
    </row>
    <row r="9" spans="2:25" x14ac:dyDescent="0.25">
      <c r="F9" s="1">
        <v>3</v>
      </c>
    </row>
    <row r="10" spans="2:25" x14ac:dyDescent="0.25">
      <c r="F10" s="1"/>
    </row>
    <row r="11" spans="2:25" x14ac:dyDescent="0.25">
      <c r="B11" t="s">
        <v>85</v>
      </c>
      <c r="F11" s="1">
        <v>4</v>
      </c>
    </row>
    <row r="12" spans="2:25" x14ac:dyDescent="0.25">
      <c r="B12" s="1">
        <v>1</v>
      </c>
      <c r="C12" t="s">
        <v>99</v>
      </c>
      <c r="F12" s="1"/>
    </row>
    <row r="13" spans="2:25" x14ac:dyDescent="0.25">
      <c r="B13" s="1">
        <v>2</v>
      </c>
      <c r="C13" t="s">
        <v>98</v>
      </c>
      <c r="F13" s="1">
        <v>5</v>
      </c>
    </row>
    <row r="14" spans="2:25" x14ac:dyDescent="0.25">
      <c r="B14" s="1">
        <v>3</v>
      </c>
      <c r="C14" t="s">
        <v>97</v>
      </c>
      <c r="F14" s="1"/>
    </row>
    <row r="15" spans="2:25" x14ac:dyDescent="0.25">
      <c r="B15" s="1">
        <v>4</v>
      </c>
      <c r="C15" t="s">
        <v>96</v>
      </c>
      <c r="F15" s="1">
        <v>6</v>
      </c>
    </row>
    <row r="16" spans="2:25" x14ac:dyDescent="0.25">
      <c r="B16" s="1">
        <v>5</v>
      </c>
      <c r="C16" t="s">
        <v>95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94</v>
      </c>
      <c r="H17" s="41"/>
    </row>
    <row r="18" spans="2:28" x14ac:dyDescent="0.25">
      <c r="C18" t="s">
        <v>93</v>
      </c>
      <c r="P18" s="3"/>
      <c r="AB18" s="27"/>
    </row>
    <row r="19" spans="2:28" x14ac:dyDescent="0.25">
      <c r="P19" s="3"/>
      <c r="AB19" s="27"/>
    </row>
    <row r="20" spans="2:28" x14ac:dyDescent="0.25">
      <c r="O20" s="28"/>
      <c r="P20" s="3"/>
      <c r="AB20" s="27"/>
    </row>
    <row r="21" spans="2:28" x14ac:dyDescent="0.25">
      <c r="O21" s="28"/>
      <c r="P21" s="3"/>
      <c r="V21" s="28"/>
      <c r="AB21" s="27"/>
    </row>
    <row r="22" spans="2:28" x14ac:dyDescent="0.25">
      <c r="G22" s="2"/>
      <c r="H22" s="2"/>
      <c r="O22" s="28"/>
      <c r="P22" s="28"/>
      <c r="Q22" s="4"/>
      <c r="R22" s="4"/>
      <c r="S22" s="4"/>
      <c r="T22" s="4"/>
      <c r="U22" s="4"/>
      <c r="V22" s="26"/>
      <c r="W22" s="4"/>
      <c r="Y22" s="27"/>
      <c r="Z22" s="27"/>
      <c r="AA22" s="27"/>
      <c r="AB22" s="27"/>
    </row>
    <row r="23" spans="2:28" x14ac:dyDescent="0.25">
      <c r="G23" s="2"/>
      <c r="H23" s="91"/>
      <c r="O23" s="4"/>
      <c r="P23" s="3"/>
      <c r="Q23" s="4"/>
      <c r="R23" s="4"/>
      <c r="S23" s="4"/>
      <c r="T23" s="4"/>
      <c r="U23" s="4"/>
      <c r="V23" s="26"/>
      <c r="W23" s="4"/>
      <c r="Y23" s="27"/>
      <c r="Z23" s="27"/>
      <c r="AA23" s="27"/>
    </row>
    <row r="24" spans="2:28" x14ac:dyDescent="0.25">
      <c r="G24" s="2"/>
      <c r="H24" s="2"/>
      <c r="O24" s="1"/>
      <c r="P24" s="4"/>
      <c r="Q24" s="4"/>
      <c r="R24" s="4"/>
      <c r="S24" s="4"/>
      <c r="T24" s="4"/>
      <c r="U24" s="4"/>
      <c r="V24" s="26"/>
      <c r="W24" s="4"/>
      <c r="Y24" s="27"/>
      <c r="Z24" s="27"/>
      <c r="AA24" s="27"/>
    </row>
    <row r="25" spans="2:28" x14ac:dyDescent="0.25">
      <c r="G25" s="2"/>
      <c r="H25" s="2"/>
      <c r="Q25" s="4"/>
      <c r="R25" s="4"/>
      <c r="S25" s="4"/>
      <c r="T25" s="4"/>
      <c r="Y25" s="27"/>
      <c r="Z25" s="27"/>
      <c r="AA25" s="27"/>
    </row>
    <row r="26" spans="2:28" x14ac:dyDescent="0.25">
      <c r="G26" s="44"/>
      <c r="H26" s="2"/>
      <c r="O26" s="21"/>
      <c r="P26" s="21"/>
      <c r="Q26" s="4"/>
      <c r="R26" s="4"/>
      <c r="S26" s="4"/>
      <c r="T26" s="4"/>
      <c r="U26" s="3"/>
      <c r="V26" s="3"/>
      <c r="W26" s="3"/>
      <c r="Y26" s="27"/>
      <c r="Z26" s="27"/>
      <c r="AA26" s="27"/>
    </row>
    <row r="27" spans="2:28" x14ac:dyDescent="0.25">
      <c r="H27" s="15"/>
      <c r="I27" s="4"/>
      <c r="J27" s="1"/>
      <c r="L27" s="3"/>
      <c r="M27" s="57"/>
      <c r="N27" s="21"/>
      <c r="O27" s="1"/>
      <c r="P27" s="21"/>
      <c r="U27" s="3"/>
      <c r="V27" s="3"/>
      <c r="W27" s="3"/>
    </row>
    <row r="28" spans="2:28" x14ac:dyDescent="0.25">
      <c r="E28" s="15"/>
      <c r="F28" s="1"/>
      <c r="H28" s="15"/>
      <c r="I28" s="4"/>
      <c r="J28" s="4"/>
      <c r="K28" s="4"/>
      <c r="L28" s="4"/>
      <c r="M28" s="4"/>
      <c r="N28" s="4"/>
      <c r="O28" s="21"/>
      <c r="P28" s="21"/>
      <c r="Q28" s="4"/>
      <c r="R28" s="4"/>
      <c r="S28" s="4"/>
      <c r="T28" s="4"/>
      <c r="U28" s="3"/>
      <c r="V28" s="3"/>
      <c r="W28" s="3"/>
    </row>
    <row r="29" spans="2:28" x14ac:dyDescent="0.25">
      <c r="H29" s="15"/>
      <c r="I29" s="4"/>
      <c r="J29" s="4"/>
      <c r="K29" s="4"/>
      <c r="L29" s="4"/>
      <c r="M29" s="4"/>
      <c r="N29" s="4"/>
      <c r="O29" s="21"/>
      <c r="P29" s="21"/>
      <c r="U29" s="3"/>
      <c r="V29" s="3"/>
      <c r="W29" s="3"/>
    </row>
    <row r="30" spans="2:28" x14ac:dyDescent="0.25">
      <c r="F30" s="4"/>
      <c r="J30" s="4"/>
      <c r="K30" s="4"/>
      <c r="L30" s="4"/>
      <c r="M30" s="4"/>
      <c r="N30" s="4"/>
      <c r="O30" s="21"/>
      <c r="P30" s="21"/>
      <c r="U30" s="3"/>
      <c r="V30" s="3"/>
      <c r="W30" s="3"/>
    </row>
    <row r="31" spans="2:28" x14ac:dyDescent="0.25">
      <c r="F31" s="77"/>
      <c r="J31" s="4"/>
      <c r="K31" s="4"/>
      <c r="L31" s="4"/>
      <c r="M31" s="4"/>
      <c r="N31" s="4"/>
    </row>
    <row r="32" spans="2:28" x14ac:dyDescent="0.25">
      <c r="H32" s="15"/>
      <c r="J32" s="4"/>
      <c r="K32" s="4"/>
      <c r="L32" s="4"/>
      <c r="M32" s="4"/>
      <c r="N32" s="4"/>
    </row>
    <row r="33" spans="2:27" x14ac:dyDescent="0.25">
      <c r="D33" s="62"/>
      <c r="J33" s="4"/>
      <c r="K33" s="4"/>
      <c r="L33" s="4"/>
      <c r="M33" s="4"/>
      <c r="N33" s="4"/>
    </row>
    <row r="34" spans="2:27" x14ac:dyDescent="0.25">
      <c r="B34" s="1"/>
      <c r="I34" s="2"/>
      <c r="J34" s="4"/>
      <c r="K34" s="4"/>
      <c r="L34" s="4"/>
      <c r="M34" s="4"/>
      <c r="N34" s="4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/>
      <c r="K35" s="4"/>
      <c r="L35" s="4"/>
      <c r="M35" s="4"/>
      <c r="N35" s="4"/>
      <c r="O35" s="8"/>
      <c r="P35" s="3"/>
    </row>
    <row r="36" spans="2:27" x14ac:dyDescent="0.25">
      <c r="B36" s="1"/>
      <c r="J36" s="4"/>
      <c r="K36" s="4"/>
      <c r="L36" s="4"/>
      <c r="M36" s="4"/>
      <c r="N36" s="4"/>
      <c r="O36" s="8"/>
      <c r="P36" s="3"/>
      <c r="U36" s="21"/>
      <c r="V36" s="21"/>
      <c r="W36" s="21"/>
      <c r="Y36" s="46"/>
      <c r="Z36" s="46"/>
      <c r="AA36" s="46"/>
    </row>
    <row r="37" spans="2:27" x14ac:dyDescent="0.25">
      <c r="J37" s="4"/>
      <c r="K37" s="4"/>
      <c r="L37" s="4"/>
      <c r="M37" s="4"/>
      <c r="N37" s="4"/>
      <c r="O37" s="8"/>
      <c r="P37" s="3"/>
      <c r="U37" s="21"/>
      <c r="V37" s="21"/>
      <c r="W37" s="21"/>
      <c r="Y37" s="46"/>
      <c r="Z37" s="46"/>
      <c r="AA37" s="46"/>
    </row>
    <row r="38" spans="2:27" x14ac:dyDescent="0.25">
      <c r="B38" s="1"/>
      <c r="J38" s="4"/>
      <c r="K38" s="4"/>
      <c r="L38" s="4"/>
      <c r="M38" s="4"/>
      <c r="N38" s="4"/>
      <c r="O38" s="8"/>
      <c r="P38" s="3"/>
      <c r="U38" s="21"/>
      <c r="V38" s="21"/>
      <c r="W38" s="21"/>
      <c r="Y38" s="46"/>
      <c r="Z38" s="46"/>
      <c r="AA38" s="46"/>
    </row>
    <row r="39" spans="2:27" x14ac:dyDescent="0.25">
      <c r="L39" s="8"/>
      <c r="M39" s="8"/>
      <c r="N39" s="58"/>
      <c r="O39" s="8"/>
      <c r="P39" s="3"/>
      <c r="U39" s="21"/>
      <c r="V39" s="21"/>
      <c r="W39" s="21"/>
      <c r="Y39" s="46"/>
      <c r="Z39" s="46"/>
      <c r="AA39" s="46"/>
    </row>
    <row r="40" spans="2:27" x14ac:dyDescent="0.25">
      <c r="L40" s="8"/>
      <c r="M40" s="8"/>
      <c r="N40" s="8"/>
      <c r="O40" s="8"/>
      <c r="P40" s="3"/>
      <c r="U40" s="21"/>
      <c r="V40" s="21"/>
      <c r="W40" s="21"/>
      <c r="Y40" s="46"/>
      <c r="Z40" s="46"/>
      <c r="AA40" s="46"/>
    </row>
    <row r="41" spans="2:27" x14ac:dyDescent="0.25">
      <c r="B41" s="1"/>
      <c r="L41" s="58"/>
      <c r="M41" s="8"/>
      <c r="N41" s="8"/>
      <c r="O41" s="8"/>
      <c r="P41" s="3"/>
      <c r="U41" s="21"/>
      <c r="V41" s="21"/>
      <c r="W41" s="21"/>
      <c r="Y41" s="46"/>
      <c r="Z41" s="46"/>
      <c r="AA41" s="46"/>
    </row>
    <row r="42" spans="2:27" x14ac:dyDescent="0.25">
      <c r="L42" s="58"/>
      <c r="M42" s="8"/>
      <c r="N42" s="8"/>
      <c r="O42" s="8"/>
      <c r="P42" s="3"/>
      <c r="U42" s="21"/>
      <c r="V42" s="21"/>
      <c r="W42" s="21"/>
      <c r="Y42" s="46"/>
      <c r="Z42" s="46"/>
      <c r="AA42" s="46"/>
    </row>
    <row r="43" spans="2:27" x14ac:dyDescent="0.25">
      <c r="L43" s="58"/>
      <c r="M43" s="58"/>
      <c r="N43" s="8"/>
      <c r="O43" s="8"/>
      <c r="P43" s="3"/>
      <c r="U43" s="21"/>
      <c r="V43" s="21"/>
      <c r="W43" s="21"/>
      <c r="Y43" s="46"/>
      <c r="Z43" s="46"/>
      <c r="AA43" s="46"/>
    </row>
    <row r="44" spans="2:27" x14ac:dyDescent="0.25">
      <c r="B44" s="1"/>
      <c r="F44" s="2"/>
      <c r="G44" s="2"/>
      <c r="H44" s="2"/>
      <c r="L44" s="58"/>
      <c r="M44" s="8"/>
      <c r="N44" s="8"/>
      <c r="O44" s="8"/>
      <c r="P44" s="3"/>
      <c r="U44" s="21"/>
      <c r="V44" s="21"/>
      <c r="W44" s="21"/>
      <c r="Y44" s="46"/>
      <c r="Z44" s="46"/>
      <c r="AA44" s="46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1"/>
      <c r="L47" s="4"/>
      <c r="M47" s="4"/>
      <c r="N47" s="4"/>
      <c r="P47" s="3"/>
    </row>
    <row r="48" spans="2:27" x14ac:dyDescent="0.25">
      <c r="F48" s="4"/>
      <c r="G48" s="3"/>
      <c r="H48" s="46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28"/>
      <c r="P50" s="3"/>
    </row>
    <row r="51" spans="2:30" x14ac:dyDescent="0.25">
      <c r="F51" s="4"/>
      <c r="G51" s="3"/>
      <c r="H51" s="3"/>
      <c r="I51" s="4"/>
      <c r="J51" s="1"/>
      <c r="O51" s="28"/>
      <c r="P51" s="3"/>
      <c r="V51" s="28"/>
    </row>
    <row r="52" spans="2:30" x14ac:dyDescent="0.25">
      <c r="F52" s="4"/>
      <c r="G52" s="3"/>
      <c r="H52" s="3"/>
      <c r="I52" s="4"/>
      <c r="J52" s="1"/>
      <c r="N52" s="4"/>
      <c r="O52" s="28"/>
      <c r="P52" s="28"/>
      <c r="Q52" s="4"/>
      <c r="R52" s="4"/>
      <c r="S52" s="4"/>
      <c r="T52" s="4"/>
      <c r="U52" s="4"/>
      <c r="V52" s="26"/>
      <c r="W52" s="4"/>
      <c r="Y52" s="27"/>
      <c r="Z52" s="27"/>
      <c r="AA52" s="27"/>
    </row>
    <row r="53" spans="2:30" x14ac:dyDescent="0.25">
      <c r="F53" s="4"/>
      <c r="G53" s="3"/>
      <c r="H53" s="3"/>
      <c r="I53" s="4"/>
      <c r="J53" s="1"/>
      <c r="K53" s="28"/>
      <c r="L53" s="28"/>
      <c r="N53" s="4"/>
      <c r="O53" s="4"/>
      <c r="P53" s="3"/>
      <c r="Q53" s="4"/>
      <c r="R53" s="4"/>
      <c r="S53" s="4"/>
      <c r="T53" s="4"/>
      <c r="U53" s="4"/>
      <c r="V53" s="26"/>
      <c r="W53" s="4"/>
      <c r="Y53" s="27"/>
      <c r="Z53" s="27"/>
      <c r="AA53" s="27"/>
    </row>
    <row r="54" spans="2:30" x14ac:dyDescent="0.25">
      <c r="F54" s="4"/>
      <c r="G54" s="3"/>
      <c r="H54" s="3"/>
      <c r="I54" s="4"/>
      <c r="J54" s="1"/>
      <c r="K54" s="28"/>
      <c r="L54" s="28"/>
      <c r="N54" s="4"/>
      <c r="O54" s="1"/>
      <c r="P54" s="4"/>
      <c r="Q54" s="4"/>
      <c r="R54" s="4"/>
      <c r="S54" s="4"/>
      <c r="T54" s="4"/>
      <c r="U54" s="4"/>
      <c r="V54" s="26"/>
      <c r="W54" s="4"/>
      <c r="Y54" s="27"/>
      <c r="Z54" s="27"/>
      <c r="AA54" s="27"/>
    </row>
    <row r="55" spans="2:30" x14ac:dyDescent="0.25">
      <c r="B55" s="1"/>
      <c r="H55" s="15"/>
      <c r="I55" s="4"/>
      <c r="J55" s="1"/>
      <c r="Q55" s="4"/>
      <c r="R55" s="4"/>
      <c r="S55" s="4"/>
      <c r="T55" s="4"/>
      <c r="Y55" s="27"/>
      <c r="Z55" s="27"/>
      <c r="AA55" s="27"/>
    </row>
    <row r="56" spans="2:30" x14ac:dyDescent="0.25">
      <c r="I56" s="4"/>
      <c r="J56" s="1"/>
      <c r="N56" s="21"/>
      <c r="O56" s="21"/>
      <c r="P56" s="21"/>
      <c r="Q56" s="4"/>
      <c r="R56" s="4"/>
      <c r="S56" s="4"/>
      <c r="T56" s="4"/>
      <c r="U56" s="3"/>
      <c r="V56" s="3"/>
      <c r="W56" s="3"/>
      <c r="Y56" s="27"/>
      <c r="Z56" s="27"/>
      <c r="AA56" s="27"/>
    </row>
    <row r="57" spans="2:30" x14ac:dyDescent="0.25">
      <c r="B57" s="1"/>
      <c r="I57" s="4"/>
      <c r="J57" s="1"/>
      <c r="N57" s="21"/>
      <c r="O57" s="1"/>
      <c r="P57" s="21"/>
      <c r="U57" s="3"/>
      <c r="V57" s="3"/>
      <c r="W57" s="3"/>
    </row>
    <row r="58" spans="2:30" x14ac:dyDescent="0.25">
      <c r="I58" s="4"/>
      <c r="J58" s="1"/>
      <c r="N58" s="21"/>
      <c r="O58" s="21"/>
      <c r="P58" s="21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1"/>
      <c r="O59" s="21"/>
      <c r="P59" s="21"/>
      <c r="U59" s="3"/>
      <c r="V59" s="3"/>
      <c r="W59" s="3"/>
    </row>
    <row r="60" spans="2:30" x14ac:dyDescent="0.25">
      <c r="AD60" s="28"/>
    </row>
    <row r="61" spans="2:30" x14ac:dyDescent="0.25">
      <c r="AD61" s="28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58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1"/>
      <c r="V68" s="21"/>
      <c r="W68" s="21"/>
      <c r="Y68" s="46"/>
      <c r="Z68" s="46"/>
      <c r="AA68" s="46"/>
    </row>
    <row r="69" spans="2:27" x14ac:dyDescent="0.25">
      <c r="L69" s="8"/>
      <c r="M69" s="58"/>
      <c r="N69" s="8"/>
      <c r="O69" s="8"/>
      <c r="P69" s="3"/>
      <c r="U69" s="21"/>
      <c r="V69" s="21"/>
      <c r="W69" s="21"/>
      <c r="Y69" s="46"/>
      <c r="Z69" s="46"/>
      <c r="AA69" s="46"/>
    </row>
    <row r="70" spans="2:27" x14ac:dyDescent="0.25">
      <c r="B70" s="1"/>
      <c r="L70" s="8"/>
      <c r="M70" s="8"/>
      <c r="N70" s="8"/>
      <c r="O70" s="8"/>
      <c r="P70" s="3"/>
      <c r="U70" s="21"/>
      <c r="V70" s="21"/>
      <c r="W70" s="21"/>
      <c r="Y70" s="46"/>
      <c r="Z70" s="46"/>
      <c r="AA70" s="46"/>
    </row>
    <row r="71" spans="2:27" x14ac:dyDescent="0.25">
      <c r="L71" s="8"/>
      <c r="M71" s="8"/>
      <c r="N71" s="58"/>
      <c r="O71" s="8"/>
      <c r="P71" s="3"/>
      <c r="U71" s="21"/>
      <c r="V71" s="21"/>
      <c r="W71" s="21"/>
      <c r="Y71" s="46"/>
      <c r="Z71" s="46"/>
      <c r="AA71" s="46"/>
    </row>
    <row r="72" spans="2:27" x14ac:dyDescent="0.25">
      <c r="L72" s="8"/>
      <c r="M72" s="8"/>
      <c r="N72" s="58"/>
      <c r="O72" s="8"/>
      <c r="P72" s="3"/>
      <c r="U72" s="21"/>
      <c r="V72" s="21"/>
      <c r="W72" s="21"/>
      <c r="Y72" s="46"/>
      <c r="Z72" s="46"/>
      <c r="AA72" s="46"/>
    </row>
    <row r="73" spans="2:27" x14ac:dyDescent="0.25">
      <c r="B73" s="1"/>
      <c r="L73" s="58"/>
      <c r="M73" s="8"/>
      <c r="N73" s="58"/>
      <c r="O73" s="8"/>
      <c r="P73" s="3"/>
      <c r="U73" s="21"/>
      <c r="V73" s="21"/>
      <c r="W73" s="21"/>
      <c r="Y73" s="46"/>
      <c r="Z73" s="46"/>
      <c r="AA73" s="46"/>
    </row>
    <row r="74" spans="2:27" x14ac:dyDescent="0.25">
      <c r="L74" s="58"/>
      <c r="M74" s="8"/>
      <c r="N74" s="58"/>
      <c r="O74" s="8"/>
      <c r="P74" s="3"/>
      <c r="U74" s="21"/>
      <c r="V74" s="21"/>
      <c r="W74" s="21"/>
      <c r="Y74" s="46"/>
      <c r="Z74" s="46"/>
      <c r="AA74" s="46"/>
    </row>
    <row r="75" spans="2:27" x14ac:dyDescent="0.25">
      <c r="L75" s="58"/>
      <c r="M75" s="58"/>
      <c r="N75" s="58"/>
      <c r="O75" s="8"/>
      <c r="P75" s="3"/>
      <c r="U75" s="21"/>
      <c r="V75" s="21"/>
      <c r="W75" s="21"/>
      <c r="Y75" s="46"/>
      <c r="Z75" s="46"/>
      <c r="AA75" s="46"/>
    </row>
    <row r="76" spans="2:27" x14ac:dyDescent="0.25">
      <c r="B76" s="1"/>
      <c r="F76" s="2"/>
      <c r="G76" s="2"/>
      <c r="H76" s="2"/>
      <c r="L76" s="58"/>
      <c r="M76" s="8"/>
      <c r="N76" s="58"/>
      <c r="O76" s="8"/>
      <c r="P76" s="3"/>
      <c r="U76" s="21"/>
      <c r="V76" s="21"/>
      <c r="W76" s="21"/>
      <c r="Y76" s="46"/>
      <c r="Z76" s="46"/>
      <c r="AA76" s="46"/>
    </row>
    <row r="77" spans="2:27" x14ac:dyDescent="0.25">
      <c r="F77" s="4"/>
      <c r="G77" s="3"/>
      <c r="H77" s="46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1"/>
      <c r="L79" s="4"/>
      <c r="M79" s="4"/>
      <c r="N79" s="4"/>
      <c r="P79" s="3"/>
    </row>
    <row r="80" spans="2:27" x14ac:dyDescent="0.25">
      <c r="F80" s="4"/>
      <c r="G80" s="3"/>
      <c r="H80" s="46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28"/>
      <c r="P82" s="3"/>
    </row>
    <row r="83" spans="6:27" x14ac:dyDescent="0.25">
      <c r="F83" s="4"/>
      <c r="G83" s="3"/>
      <c r="H83" s="3"/>
      <c r="I83" s="4"/>
      <c r="J83" s="1"/>
      <c r="O83" s="28"/>
      <c r="P83" s="3"/>
      <c r="V83" s="28"/>
    </row>
    <row r="84" spans="6:27" x14ac:dyDescent="0.25">
      <c r="F84" s="4"/>
      <c r="G84" s="3"/>
      <c r="H84" s="3"/>
      <c r="I84" s="4"/>
      <c r="J84" s="1"/>
      <c r="N84" s="4"/>
      <c r="O84" s="28"/>
      <c r="P84" s="28"/>
      <c r="Q84" s="4"/>
      <c r="R84" s="4"/>
      <c r="S84" s="4"/>
      <c r="T84" s="4"/>
      <c r="U84" s="4"/>
      <c r="V84" s="26"/>
      <c r="W84" s="4"/>
      <c r="Y84" s="27"/>
      <c r="Z84" s="27"/>
      <c r="AA84" s="27"/>
    </row>
    <row r="85" spans="6:27" x14ac:dyDescent="0.25">
      <c r="F85" s="4"/>
      <c r="G85" s="3"/>
      <c r="H85" s="56"/>
      <c r="I85" s="4"/>
      <c r="J85" s="1"/>
      <c r="K85" s="28"/>
      <c r="L85" s="28"/>
      <c r="N85" s="4"/>
      <c r="O85" s="4"/>
      <c r="P85" s="3"/>
      <c r="Q85" s="4"/>
      <c r="R85" s="4"/>
      <c r="S85" s="4"/>
      <c r="T85" s="4"/>
      <c r="U85" s="4"/>
      <c r="V85" s="26"/>
      <c r="W85" s="4"/>
      <c r="Y85" s="27"/>
      <c r="Z85" s="27"/>
      <c r="AA85" s="27"/>
    </row>
    <row r="86" spans="6:27" x14ac:dyDescent="0.25">
      <c r="F86" s="4"/>
      <c r="G86" s="3"/>
      <c r="H86" s="3"/>
      <c r="I86" s="4"/>
      <c r="J86" s="1"/>
      <c r="K86" s="28"/>
      <c r="L86" s="28"/>
      <c r="N86" s="4"/>
      <c r="O86" s="1"/>
      <c r="P86" s="4"/>
      <c r="Q86" s="4"/>
      <c r="R86" s="4"/>
      <c r="S86" s="4"/>
      <c r="T86" s="4"/>
      <c r="U86" s="4"/>
      <c r="V86" s="26"/>
      <c r="W86" s="4"/>
      <c r="Y86" s="27"/>
      <c r="Z86" s="27"/>
      <c r="AA86" s="27"/>
    </row>
    <row r="87" spans="6:27" x14ac:dyDescent="0.25">
      <c r="H87" s="15"/>
      <c r="I87" s="4"/>
      <c r="J87" s="1"/>
      <c r="Q87" s="4"/>
      <c r="R87" s="4"/>
      <c r="S87" s="4"/>
      <c r="T87" s="4"/>
      <c r="Y87" s="27"/>
      <c r="Z87" s="27"/>
      <c r="AA87" s="27"/>
    </row>
    <row r="88" spans="6:27" x14ac:dyDescent="0.25">
      <c r="I88" s="4"/>
      <c r="J88" s="1"/>
      <c r="N88" s="21"/>
      <c r="O88" s="21"/>
      <c r="P88" s="21"/>
      <c r="Q88" s="4"/>
      <c r="R88" s="4"/>
      <c r="S88" s="4"/>
      <c r="T88" s="4"/>
      <c r="U88" s="3"/>
      <c r="V88" s="3"/>
      <c r="W88" s="3"/>
      <c r="Y88" s="27"/>
      <c r="Z88" s="27"/>
      <c r="AA88" s="27"/>
    </row>
    <row r="89" spans="6:27" x14ac:dyDescent="0.25">
      <c r="I89" s="4"/>
      <c r="J89" s="1"/>
      <c r="N89" s="21"/>
      <c r="O89" s="1"/>
      <c r="P89" s="21"/>
      <c r="U89" s="3"/>
      <c r="V89" s="3"/>
      <c r="W89" s="3"/>
    </row>
    <row r="90" spans="6:27" x14ac:dyDescent="0.25">
      <c r="I90" s="4"/>
      <c r="J90" s="1"/>
      <c r="N90" s="21"/>
      <c r="O90" s="21"/>
      <c r="P90" s="21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1"/>
      <c r="O91" s="21"/>
      <c r="P91" s="21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8DB0-A9AE-4D32-BBF5-1B206255E460}">
  <dimension ref="B1:AE91"/>
  <sheetViews>
    <sheetView zoomScale="75" zoomScaleNormal="75" workbookViewId="0">
      <selection activeCell="J36" sqref="J36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2" width="10.7109375" customWidth="1"/>
    <col min="13" max="13" width="13.140625" customWidth="1"/>
    <col min="14" max="17" width="10.7109375" customWidth="1"/>
    <col min="20" max="20" width="11" customWidth="1"/>
    <col min="22" max="22" width="10.28515625" customWidth="1"/>
    <col min="23" max="23" width="11.7109375" customWidth="1"/>
    <col min="24" max="24" width="10.28515625" customWidth="1"/>
    <col min="31" max="31" width="16.85546875" bestFit="1" customWidth="1"/>
  </cols>
  <sheetData>
    <row r="1" spans="2:27" x14ac:dyDescent="0.25">
      <c r="B1" s="1" t="s">
        <v>45</v>
      </c>
    </row>
    <row r="2" spans="2:27" x14ac:dyDescent="0.25">
      <c r="Q2" t="s">
        <v>100</v>
      </c>
      <c r="U2" t="s">
        <v>101</v>
      </c>
    </row>
    <row r="3" spans="2:27" x14ac:dyDescent="0.25">
      <c r="B3" s="1" t="s">
        <v>55</v>
      </c>
      <c r="M3" t="s">
        <v>232</v>
      </c>
    </row>
    <row r="5" spans="2:27" x14ac:dyDescent="0.25">
      <c r="B5" s="1" t="s">
        <v>59</v>
      </c>
      <c r="F5">
        <v>1</v>
      </c>
    </row>
    <row r="6" spans="2:27" x14ac:dyDescent="0.25">
      <c r="C6" t="s">
        <v>57</v>
      </c>
    </row>
    <row r="7" spans="2:27" x14ac:dyDescent="0.25">
      <c r="C7" t="s">
        <v>58</v>
      </c>
      <c r="F7">
        <v>2</v>
      </c>
    </row>
    <row r="8" spans="2:27" x14ac:dyDescent="0.25">
      <c r="C8" t="s">
        <v>56</v>
      </c>
    </row>
    <row r="9" spans="2:27" x14ac:dyDescent="0.25">
      <c r="F9">
        <v>3</v>
      </c>
    </row>
    <row r="11" spans="2:27" x14ac:dyDescent="0.25">
      <c r="B11" t="s">
        <v>85</v>
      </c>
      <c r="F11">
        <v>4</v>
      </c>
    </row>
    <row r="12" spans="2:27" x14ac:dyDescent="0.25">
      <c r="B12" s="1">
        <v>1</v>
      </c>
      <c r="C12" t="s">
        <v>99</v>
      </c>
    </row>
    <row r="13" spans="2:27" x14ac:dyDescent="0.25">
      <c r="B13" s="1">
        <v>2</v>
      </c>
      <c r="C13" t="s">
        <v>98</v>
      </c>
      <c r="F13">
        <v>5</v>
      </c>
    </row>
    <row r="14" spans="2:27" x14ac:dyDescent="0.25">
      <c r="B14" s="1">
        <v>3</v>
      </c>
      <c r="C14" t="s">
        <v>97</v>
      </c>
    </row>
    <row r="15" spans="2:27" x14ac:dyDescent="0.25">
      <c r="B15" s="1">
        <v>4</v>
      </c>
      <c r="C15" t="s">
        <v>166</v>
      </c>
      <c r="F15">
        <v>6</v>
      </c>
    </row>
    <row r="16" spans="2:27" x14ac:dyDescent="0.25">
      <c r="B16" s="1">
        <v>5</v>
      </c>
      <c r="C16" t="s">
        <v>95</v>
      </c>
      <c r="J16" s="4"/>
      <c r="K16" s="4"/>
      <c r="L16" s="4"/>
      <c r="M16" s="77">
        <v>400000000</v>
      </c>
      <c r="O16" s="3"/>
      <c r="P16" s="3"/>
      <c r="Q16" s="3"/>
      <c r="R16" s="3"/>
      <c r="S16" s="3"/>
      <c r="Y16" s="4"/>
      <c r="Z16" s="4"/>
      <c r="AA16" s="4"/>
    </row>
    <row r="17" spans="2:29" x14ac:dyDescent="0.25">
      <c r="B17" s="1">
        <v>6</v>
      </c>
      <c r="C17" t="s">
        <v>94</v>
      </c>
      <c r="H17" s="41"/>
      <c r="J17" s="4"/>
      <c r="K17" s="4"/>
      <c r="L17" s="4"/>
      <c r="M17" s="46"/>
      <c r="N17" s="3"/>
      <c r="T17" s="3"/>
      <c r="U17" s="3"/>
    </row>
    <row r="18" spans="2:29" x14ac:dyDescent="0.25">
      <c r="C18" t="s">
        <v>93</v>
      </c>
      <c r="K18" s="2"/>
      <c r="L18" s="2"/>
      <c r="M18" s="46"/>
      <c r="N18" s="44"/>
      <c r="O18" s="4"/>
      <c r="P18" s="4"/>
      <c r="Q18" s="3"/>
      <c r="T18" s="3"/>
      <c r="U18" s="3"/>
      <c r="AC18" s="27"/>
    </row>
    <row r="19" spans="2:29" x14ac:dyDescent="0.25">
      <c r="D19" s="2" t="s">
        <v>190</v>
      </c>
      <c r="E19" s="2" t="s">
        <v>85</v>
      </c>
      <c r="K19" s="3"/>
      <c r="L19" s="15"/>
      <c r="M19" s="46"/>
      <c r="N19" s="4"/>
      <c r="O19" s="3"/>
      <c r="P19" s="3"/>
      <c r="Q19" s="3"/>
      <c r="AC19" s="27"/>
    </row>
    <row r="20" spans="2:29" x14ac:dyDescent="0.25">
      <c r="B20">
        <v>250000000</v>
      </c>
      <c r="C20" s="57">
        <v>1000000000</v>
      </c>
      <c r="D20" s="1">
        <v>0</v>
      </c>
      <c r="E20">
        <v>4</v>
      </c>
      <c r="I20" s="2">
        <v>0</v>
      </c>
      <c r="J20" s="2"/>
      <c r="K20" s="3"/>
      <c r="L20" s="3"/>
      <c r="M20" s="46"/>
      <c r="N20" s="25"/>
      <c r="O20" s="3"/>
      <c r="P20" s="3"/>
      <c r="Q20" s="3"/>
      <c r="T20" s="3"/>
      <c r="U20" s="3"/>
      <c r="AC20" s="27"/>
    </row>
    <row r="21" spans="2:29" x14ac:dyDescent="0.25">
      <c r="B21">
        <v>150000000</v>
      </c>
      <c r="C21" s="57">
        <v>1000000000</v>
      </c>
      <c r="D21" s="1">
        <v>1</v>
      </c>
      <c r="E21">
        <v>5</v>
      </c>
      <c r="I21" s="2">
        <v>0</v>
      </c>
      <c r="J21" s="91"/>
      <c r="O21" s="28" t="s">
        <v>235</v>
      </c>
      <c r="AC21" s="27"/>
    </row>
    <row r="22" spans="2:29" x14ac:dyDescent="0.25">
      <c r="B22">
        <v>200000000</v>
      </c>
      <c r="C22" s="57">
        <v>1000000000</v>
      </c>
      <c r="D22" s="1">
        <v>0</v>
      </c>
      <c r="E22">
        <v>6</v>
      </c>
      <c r="I22" s="2">
        <v>0</v>
      </c>
      <c r="J22" s="2"/>
      <c r="K22">
        <v>3</v>
      </c>
      <c r="L22" s="3">
        <f>1000*test8OracleRevenue!T80</f>
        <v>4.7619047619047628</v>
      </c>
      <c r="M22" s="3">
        <v>4.76</v>
      </c>
      <c r="N22" s="4"/>
      <c r="O22" s="26">
        <v>4.76</v>
      </c>
      <c r="P22" s="26" t="s">
        <v>199</v>
      </c>
      <c r="R22" s="4"/>
      <c r="Z22" s="27"/>
      <c r="AA22" s="27"/>
      <c r="AB22" s="27"/>
      <c r="AC22" s="27"/>
    </row>
    <row r="23" spans="2:29" x14ac:dyDescent="0.25">
      <c r="B23" s="1">
        <v>100000000</v>
      </c>
      <c r="C23" s="57">
        <v>1000000000</v>
      </c>
      <c r="D23" s="1">
        <v>2</v>
      </c>
      <c r="E23">
        <v>6</v>
      </c>
      <c r="I23" s="2">
        <v>0</v>
      </c>
      <c r="J23" s="2"/>
      <c r="K23">
        <v>4</v>
      </c>
      <c r="L23" s="3">
        <f>1000*test8OracleRevenue!T82</f>
        <v>7.4074074074074074</v>
      </c>
      <c r="M23" s="3">
        <v>7.4</v>
      </c>
      <c r="N23" s="4"/>
      <c r="O23" s="26">
        <v>7.4</v>
      </c>
      <c r="P23" s="26"/>
      <c r="R23" s="4"/>
      <c r="Z23" s="27"/>
      <c r="AA23" s="27"/>
      <c r="AB23" s="27"/>
    </row>
    <row r="24" spans="2:29" x14ac:dyDescent="0.25">
      <c r="D24" s="1" t="s">
        <v>233</v>
      </c>
      <c r="E24" s="124" t="s">
        <v>234</v>
      </c>
      <c r="I24" s="44"/>
      <c r="J24" s="2"/>
      <c r="K24" s="4">
        <v>4</v>
      </c>
      <c r="L24" s="3">
        <f>1000*(test8OracleRevenue!Q78+test8OracleRevenue!Q80+test8OracleRevenue!Q82)</f>
        <v>205.82010582010585</v>
      </c>
      <c r="M24" s="3">
        <v>205.75</v>
      </c>
      <c r="N24" s="4">
        <v>212.5</v>
      </c>
      <c r="O24" s="26">
        <v>205.75</v>
      </c>
      <c r="P24" s="26"/>
      <c r="R24" s="4"/>
      <c r="Z24" s="27"/>
      <c r="AA24" s="27"/>
      <c r="AB24" s="27"/>
    </row>
    <row r="25" spans="2:29" x14ac:dyDescent="0.25">
      <c r="B25" s="1"/>
      <c r="F25" s="25"/>
      <c r="G25" s="3" t="s">
        <v>224</v>
      </c>
      <c r="H25" s="4"/>
      <c r="I25" s="4"/>
      <c r="J25" s="3"/>
      <c r="K25" s="4">
        <v>5</v>
      </c>
      <c r="L25" s="3">
        <f>1000*test8OracleRevenue!T84</f>
        <v>10.714285714285714</v>
      </c>
      <c r="M25">
        <v>11.76</v>
      </c>
      <c r="O25" s="26">
        <v>11.76</v>
      </c>
      <c r="P25" s="26"/>
      <c r="R25" s="4"/>
      <c r="Z25" s="27"/>
      <c r="AA25" s="27"/>
      <c r="AB25" s="27"/>
    </row>
    <row r="26" spans="2:29" x14ac:dyDescent="0.25">
      <c r="G26" s="113">
        <v>212.5</v>
      </c>
      <c r="H26" s="72">
        <v>212.5</v>
      </c>
      <c r="I26" s="78"/>
      <c r="J26" s="3"/>
      <c r="K26" s="3">
        <v>5</v>
      </c>
      <c r="L26" s="3">
        <f>1000*test8OracleRevenue!T86</f>
        <v>18.604651162790699</v>
      </c>
      <c r="M26" s="3">
        <v>21.04</v>
      </c>
      <c r="N26" s="3"/>
      <c r="O26" s="3">
        <v>92.85</v>
      </c>
      <c r="P26" s="3"/>
      <c r="R26" s="4"/>
      <c r="Z26" s="27"/>
      <c r="AA26" s="27"/>
      <c r="AB26" s="27"/>
    </row>
    <row r="27" spans="2:29" x14ac:dyDescent="0.25">
      <c r="B27" s="1"/>
      <c r="G27" s="72">
        <v>50.4</v>
      </c>
      <c r="H27" s="72">
        <v>100.8</v>
      </c>
      <c r="I27" s="114">
        <f>H27-G27</f>
        <v>50.4</v>
      </c>
      <c r="J27" s="3"/>
      <c r="K27" s="4">
        <v>5</v>
      </c>
      <c r="L27" s="3">
        <f>1000*(test8OracleRevenue!R84+test8OracleRevenue!R82+test8OracleRevenue!R80+test8OracleRevenue!R78)</f>
        <v>90.277777777777786</v>
      </c>
      <c r="M27" s="3">
        <v>92.85</v>
      </c>
      <c r="N27" s="3">
        <v>100.8</v>
      </c>
      <c r="O27" s="3">
        <v>21.04</v>
      </c>
      <c r="P27" s="3"/>
    </row>
    <row r="28" spans="2:29" x14ac:dyDescent="0.25">
      <c r="D28" s="11">
        <v>8</v>
      </c>
      <c r="E28" s="77">
        <f>2^D28</f>
        <v>256</v>
      </c>
      <c r="G28" s="72">
        <v>144.6</v>
      </c>
      <c r="H28" s="78">
        <v>111</v>
      </c>
      <c r="I28" s="114">
        <f t="shared" ref="I28:I29" si="0">H28-G28</f>
        <v>-33.599999999999994</v>
      </c>
      <c r="J28" s="1"/>
      <c r="K28" s="4">
        <v>6</v>
      </c>
      <c r="L28" s="3">
        <f>1000*test8OracleRevenue!T86</f>
        <v>18.604651162790699</v>
      </c>
      <c r="M28" s="3">
        <v>21.04</v>
      </c>
      <c r="N28" s="3"/>
      <c r="O28" s="3">
        <v>91.8</v>
      </c>
      <c r="P28" s="3"/>
      <c r="R28" s="4"/>
    </row>
    <row r="29" spans="2:29" x14ac:dyDescent="0.25">
      <c r="C29" s="62"/>
      <c r="D29">
        <v>16</v>
      </c>
      <c r="E29" s="77">
        <f t="shared" ref="E29:E31" si="1">2^D29</f>
        <v>65536</v>
      </c>
      <c r="F29" s="46"/>
      <c r="G29" s="113">
        <v>92.3</v>
      </c>
      <c r="H29" s="78">
        <v>75.5</v>
      </c>
      <c r="I29" s="114">
        <f t="shared" si="0"/>
        <v>-16.799999999999997</v>
      </c>
      <c r="J29" s="1"/>
      <c r="K29" s="4">
        <v>6</v>
      </c>
      <c r="L29" s="3">
        <f>1000*(test8OracleRevenue!Q86+test8OracleRevenue!Q84)</f>
        <v>102.78239202657809</v>
      </c>
      <c r="M29" s="3">
        <v>68.849999999999994</v>
      </c>
      <c r="N29" s="3">
        <v>111</v>
      </c>
      <c r="O29" s="3">
        <v>64.400000000000006</v>
      </c>
      <c r="P29" s="3"/>
    </row>
    <row r="30" spans="2:29" x14ac:dyDescent="0.25">
      <c r="C30" s="4"/>
      <c r="D30">
        <v>32</v>
      </c>
      <c r="E30" s="77">
        <f t="shared" si="1"/>
        <v>4294967296</v>
      </c>
      <c r="F30" s="62"/>
      <c r="G30" s="88">
        <f>SUM(G26:G29)</f>
        <v>499.8</v>
      </c>
      <c r="H30" s="88"/>
      <c r="I30" s="74">
        <f>SUM(I28:I29)</f>
        <v>-50.399999999999991</v>
      </c>
      <c r="K30" s="4">
        <v>6</v>
      </c>
      <c r="L30" s="3">
        <f>1000*(test8OracleRevenue!S86+test8OracleRevenue!S84+test8OracleRevenue!S82)</f>
        <v>59.631475329149751</v>
      </c>
      <c r="M30" s="3">
        <v>75.8</v>
      </c>
      <c r="N30" s="3">
        <v>75.5</v>
      </c>
      <c r="O30" s="3">
        <v>0.24</v>
      </c>
      <c r="P30" s="3"/>
    </row>
    <row r="31" spans="2:29" x14ac:dyDescent="0.25">
      <c r="D31">
        <v>64</v>
      </c>
      <c r="E31" s="77">
        <f t="shared" si="1"/>
        <v>1.8446744073709552E+19</v>
      </c>
      <c r="G31" s="88"/>
      <c r="H31" s="46">
        <f>H28/H29</f>
        <v>1.4701986754966887</v>
      </c>
      <c r="I31" s="46">
        <f>I28/I29</f>
        <v>2</v>
      </c>
      <c r="L31" s="3">
        <f>SUM(L22:L30)</f>
        <v>518.60465116279079</v>
      </c>
      <c r="M31" s="3">
        <v>11.79</v>
      </c>
      <c r="N31" s="3">
        <v>0.2</v>
      </c>
    </row>
    <row r="32" spans="2:29" x14ac:dyDescent="0.25">
      <c r="E32" s="112"/>
      <c r="F32" s="88"/>
      <c r="G32" s="1"/>
      <c r="H32" s="77"/>
      <c r="L32" s="3"/>
      <c r="M32" s="3">
        <f>SUM(M22:M31)</f>
        <v>521.04</v>
      </c>
      <c r="N32" s="3">
        <f>SUM(N22:N31)</f>
        <v>500</v>
      </c>
      <c r="O32" s="3">
        <f>SUM(O22:O31)</f>
        <v>500</v>
      </c>
      <c r="P32" s="3"/>
    </row>
    <row r="33" spans="2:28" x14ac:dyDescent="0.25">
      <c r="E33" s="105"/>
      <c r="F33" t="s">
        <v>225</v>
      </c>
      <c r="G33" t="s">
        <v>227</v>
      </c>
      <c r="H33" t="s">
        <v>226</v>
      </c>
      <c r="L33" s="3"/>
      <c r="M33" s="3"/>
    </row>
    <row r="34" spans="2:28" x14ac:dyDescent="0.25">
      <c r="B34" s="1"/>
      <c r="F34" s="2">
        <v>212.5</v>
      </c>
      <c r="G34" s="3" t="e">
        <f>test8OracleRevenue!#REF!*1000</f>
        <v>#REF!</v>
      </c>
      <c r="H34" s="113">
        <v>212.5</v>
      </c>
      <c r="J34" s="2"/>
      <c r="K34" s="2"/>
      <c r="L34" s="91"/>
      <c r="M34" s="91"/>
      <c r="N34" s="2"/>
      <c r="O34" s="2"/>
      <c r="P34" s="2"/>
      <c r="Q34" s="2"/>
      <c r="R34" s="2"/>
      <c r="Z34" s="2"/>
      <c r="AA34" s="2"/>
      <c r="AB34" s="2"/>
    </row>
    <row r="35" spans="2:28" x14ac:dyDescent="0.25">
      <c r="E35" s="89"/>
      <c r="F35">
        <v>100.8</v>
      </c>
      <c r="G35" s="3">
        <f>test8OracleRevenue!AB80*1000</f>
        <v>90.277777777777786</v>
      </c>
      <c r="H35" s="72">
        <v>50.4</v>
      </c>
    </row>
    <row r="36" spans="2:28" x14ac:dyDescent="0.25">
      <c r="B36" s="1"/>
      <c r="E36" s="106"/>
      <c r="F36">
        <v>111</v>
      </c>
      <c r="G36" s="3">
        <f>test8OracleRevenue!AB82*1000</f>
        <v>308.60249784668395</v>
      </c>
      <c r="H36" s="72">
        <v>144.6</v>
      </c>
      <c r="J36" s="1"/>
      <c r="K36" s="3"/>
      <c r="L36" s="3"/>
      <c r="M36" s="46"/>
      <c r="N36" s="25"/>
      <c r="O36" s="3"/>
      <c r="P36" s="3"/>
      <c r="Q36" s="3"/>
      <c r="V36" s="21"/>
      <c r="W36" s="21"/>
      <c r="X36" s="21"/>
      <c r="Z36" s="46"/>
      <c r="AA36" s="46"/>
      <c r="AB36" s="46"/>
    </row>
    <row r="37" spans="2:28" x14ac:dyDescent="0.25">
      <c r="E37" s="88"/>
      <c r="F37">
        <v>75.5</v>
      </c>
      <c r="G37" s="3">
        <f>test8OracleRevenue!AB83*1000</f>
        <v>59.631475329149751</v>
      </c>
      <c r="H37" s="113">
        <v>92.3</v>
      </c>
      <c r="K37" s="3"/>
      <c r="L37" s="3"/>
      <c r="M37" s="46"/>
      <c r="N37" s="25"/>
      <c r="O37" s="3"/>
      <c r="P37" s="3"/>
      <c r="Q37" s="3"/>
      <c r="V37" s="21"/>
      <c r="W37" s="21"/>
      <c r="X37" s="21"/>
      <c r="Z37" s="46"/>
      <c r="AA37" s="46"/>
      <c r="AB37" s="46"/>
    </row>
    <row r="38" spans="2:28" x14ac:dyDescent="0.25">
      <c r="B38" s="1"/>
      <c r="F38" s="3">
        <f>SUM(F34:F37)</f>
        <v>499.8</v>
      </c>
      <c r="G38" s="3" t="e">
        <f t="shared" ref="G38:H38" si="2">SUM(G34:G37)</f>
        <v>#REF!</v>
      </c>
      <c r="H38" s="3">
        <f t="shared" si="2"/>
        <v>499.8</v>
      </c>
      <c r="K38" s="3"/>
      <c r="L38" s="3"/>
      <c r="M38" s="46"/>
      <c r="N38" s="25"/>
      <c r="O38" s="3"/>
      <c r="P38" s="3"/>
      <c r="Q38" s="3"/>
      <c r="V38" s="21"/>
      <c r="W38" s="21"/>
      <c r="X38" s="21"/>
      <c r="Z38" s="46"/>
      <c r="AA38" s="46"/>
      <c r="AB38" s="46"/>
    </row>
    <row r="39" spans="2:28" x14ac:dyDescent="0.25">
      <c r="H39" s="8"/>
      <c r="K39" s="3"/>
      <c r="L39" s="3"/>
      <c r="M39" s="46"/>
      <c r="N39" s="25"/>
      <c r="O39" s="3"/>
      <c r="P39" s="3"/>
      <c r="Q39" s="3"/>
      <c r="V39" s="21"/>
      <c r="W39" s="21"/>
      <c r="X39" s="21"/>
      <c r="Z39" s="46"/>
      <c r="AA39" s="46"/>
      <c r="AB39" s="46"/>
    </row>
    <row r="40" spans="2:28" x14ac:dyDescent="0.25">
      <c r="K40" s="3"/>
      <c r="L40" s="3"/>
      <c r="M40" s="46"/>
      <c r="N40" s="25"/>
      <c r="O40" s="3"/>
      <c r="P40" s="3"/>
      <c r="Q40" s="3"/>
      <c r="V40" s="21"/>
      <c r="W40" s="21"/>
      <c r="X40" s="21"/>
      <c r="Z40" s="46"/>
      <c r="AA40" s="46"/>
      <c r="AB40" s="46"/>
    </row>
    <row r="41" spans="2:28" x14ac:dyDescent="0.25">
      <c r="B41" s="1"/>
      <c r="G41" s="17" t="e">
        <f>SUM(test8OracleRevenue!#REF!)</f>
        <v>#REF!</v>
      </c>
      <c r="H41" s="88"/>
      <c r="L41" s="58"/>
      <c r="M41" s="60"/>
      <c r="N41" s="8"/>
      <c r="O41" s="8"/>
      <c r="P41" s="8"/>
      <c r="Q41" s="3"/>
      <c r="V41" s="21"/>
      <c r="W41" s="21"/>
      <c r="X41" s="21"/>
      <c r="Z41" s="46"/>
      <c r="AA41" s="46"/>
      <c r="AB41" s="46"/>
    </row>
    <row r="42" spans="2:28" x14ac:dyDescent="0.25">
      <c r="G42">
        <f>SUM(test8OracleRevenue!AA6:AA9)</f>
        <v>500</v>
      </c>
      <c r="L42" s="58"/>
      <c r="M42" s="8"/>
      <c r="N42" s="8"/>
      <c r="O42" s="8"/>
      <c r="P42" s="8"/>
      <c r="Q42" s="3"/>
      <c r="V42" s="21"/>
      <c r="W42" s="21"/>
      <c r="X42" s="21"/>
      <c r="Z42" s="46"/>
      <c r="AA42" s="46"/>
      <c r="AB42" s="46"/>
    </row>
    <row r="43" spans="2:28" x14ac:dyDescent="0.25">
      <c r="G43" s="19" t="e">
        <f>G42-G41</f>
        <v>#REF!</v>
      </c>
      <c r="K43" s="3"/>
      <c r="L43" s="58"/>
      <c r="M43" s="58"/>
      <c r="N43" s="8"/>
      <c r="O43" s="8"/>
      <c r="P43" s="8"/>
      <c r="Q43" s="3"/>
      <c r="V43" s="21"/>
      <c r="W43" s="21"/>
      <c r="X43" s="21"/>
      <c r="Z43" s="46"/>
      <c r="AA43" s="46"/>
      <c r="AB43" s="46"/>
    </row>
    <row r="44" spans="2:28" x14ac:dyDescent="0.25">
      <c r="B44" s="1"/>
      <c r="F44" s="2"/>
      <c r="G44" s="2" t="e">
        <f>G43*1000</f>
        <v>#REF!</v>
      </c>
      <c r="H44" s="2"/>
      <c r="L44" s="58"/>
      <c r="M44" s="8"/>
      <c r="N44" s="8"/>
      <c r="O44" s="8"/>
      <c r="P44" s="8"/>
      <c r="Q44" s="3"/>
      <c r="V44" s="21"/>
      <c r="W44" s="21"/>
      <c r="X44" s="21"/>
      <c r="Z44" s="46"/>
      <c r="AA44" s="46"/>
      <c r="AB44" s="46"/>
    </row>
    <row r="45" spans="2:28" x14ac:dyDescent="0.25">
      <c r="F45" s="4"/>
      <c r="G45" s="3"/>
      <c r="H45" s="3"/>
      <c r="L45" s="8"/>
      <c r="M45" s="8"/>
      <c r="N45" s="8"/>
      <c r="O45" s="8"/>
      <c r="P45" s="8"/>
      <c r="Q45" s="3"/>
    </row>
    <row r="46" spans="2:28" x14ac:dyDescent="0.25">
      <c r="F46" s="4"/>
      <c r="G46" s="3"/>
      <c r="H46" s="3"/>
      <c r="L46" s="4"/>
      <c r="M46" s="4"/>
      <c r="N46" s="4"/>
      <c r="Q46" s="3"/>
      <c r="Z46" s="4"/>
      <c r="AA46" s="4"/>
      <c r="AB46" s="4"/>
    </row>
    <row r="47" spans="2:28" x14ac:dyDescent="0.25">
      <c r="B47" s="1"/>
      <c r="F47" s="4"/>
      <c r="G47" s="3"/>
      <c r="H47" s="3"/>
      <c r="J47" s="41"/>
      <c r="L47" s="4"/>
      <c r="M47" s="4"/>
      <c r="N47" s="4"/>
      <c r="Q47" s="3"/>
    </row>
    <row r="48" spans="2:28" x14ac:dyDescent="0.25">
      <c r="F48" s="4"/>
      <c r="G48" s="3"/>
      <c r="H48" s="46"/>
      <c r="L48" s="4"/>
      <c r="M48" s="4"/>
      <c r="N48" s="4"/>
      <c r="Q48" s="3"/>
    </row>
    <row r="49" spans="2:31" x14ac:dyDescent="0.25">
      <c r="F49" s="4"/>
      <c r="G49" s="3"/>
      <c r="H49" s="3"/>
      <c r="Q49" s="3"/>
    </row>
    <row r="50" spans="2:31" x14ac:dyDescent="0.25">
      <c r="F50" s="4"/>
      <c r="G50" s="3"/>
      <c r="H50" s="3"/>
      <c r="I50" s="4"/>
      <c r="J50" s="1"/>
      <c r="O50" s="28"/>
      <c r="P50" s="28"/>
      <c r="Q50" s="3"/>
    </row>
    <row r="51" spans="2:31" x14ac:dyDescent="0.25">
      <c r="F51" s="4"/>
      <c r="G51" s="3"/>
      <c r="H51" s="3"/>
      <c r="I51" s="4"/>
      <c r="J51" s="1"/>
      <c r="O51" s="28"/>
      <c r="P51" s="28"/>
      <c r="Q51" s="3"/>
      <c r="W51" s="28"/>
    </row>
    <row r="52" spans="2:31" x14ac:dyDescent="0.25">
      <c r="F52" s="4"/>
      <c r="G52" s="3"/>
      <c r="H52" s="3"/>
      <c r="I52" s="4"/>
      <c r="J52" s="1"/>
      <c r="N52" s="4"/>
      <c r="O52" s="28"/>
      <c r="P52" s="28"/>
      <c r="Q52" s="28"/>
      <c r="R52" s="4"/>
      <c r="S52" s="4"/>
      <c r="T52" s="4"/>
      <c r="U52" s="4"/>
      <c r="V52" s="4"/>
      <c r="W52" s="26"/>
      <c r="X52" s="4"/>
      <c r="Z52" s="27"/>
      <c r="AA52" s="27"/>
      <c r="AB52" s="27"/>
    </row>
    <row r="53" spans="2:31" x14ac:dyDescent="0.25">
      <c r="F53" s="4"/>
      <c r="G53" s="3"/>
      <c r="H53" s="3"/>
      <c r="I53" s="4"/>
      <c r="J53" s="1"/>
      <c r="K53" s="28"/>
      <c r="L53" s="28"/>
      <c r="N53" s="4"/>
      <c r="O53" s="4"/>
      <c r="P53" s="4"/>
      <c r="Q53" s="3"/>
      <c r="R53" s="4"/>
      <c r="S53" s="4"/>
      <c r="T53" s="4"/>
      <c r="U53" s="4"/>
      <c r="V53" s="4"/>
      <c r="W53" s="26"/>
      <c r="X53" s="4"/>
      <c r="Z53" s="27"/>
      <c r="AA53" s="27"/>
      <c r="AB53" s="27"/>
    </row>
    <row r="54" spans="2:31" x14ac:dyDescent="0.25">
      <c r="F54" s="4"/>
      <c r="G54" s="3"/>
      <c r="H54" s="3"/>
      <c r="I54" s="4"/>
      <c r="J54" s="1"/>
      <c r="K54" s="28"/>
      <c r="L54" s="28"/>
      <c r="N54" s="4"/>
      <c r="O54" s="1"/>
      <c r="P54" s="1"/>
      <c r="Q54" s="4"/>
      <c r="R54" s="4"/>
      <c r="S54" s="4"/>
      <c r="T54" s="4"/>
      <c r="U54" s="4"/>
      <c r="V54" s="4"/>
      <c r="W54" s="26"/>
      <c r="X54" s="4"/>
      <c r="Z54" s="27"/>
      <c r="AA54" s="27"/>
      <c r="AB54" s="27"/>
    </row>
    <row r="55" spans="2:31" x14ac:dyDescent="0.25">
      <c r="B55" s="1"/>
      <c r="H55" s="15"/>
      <c r="I55" s="4"/>
      <c r="J55" s="1"/>
      <c r="R55" s="4"/>
      <c r="S55" s="4"/>
      <c r="T55" s="4"/>
      <c r="U55" s="4"/>
      <c r="Z55" s="27"/>
      <c r="AA55" s="27"/>
      <c r="AB55" s="27"/>
    </row>
    <row r="56" spans="2:31" x14ac:dyDescent="0.25">
      <c r="I56" s="4"/>
      <c r="J56" s="1"/>
      <c r="N56" s="21"/>
      <c r="O56" s="21"/>
      <c r="P56" s="21"/>
      <c r="Q56" s="21"/>
      <c r="R56" s="4"/>
      <c r="S56" s="4"/>
      <c r="T56" s="4"/>
      <c r="U56" s="4"/>
      <c r="V56" s="3"/>
      <c r="W56" s="3"/>
      <c r="X56" s="3"/>
      <c r="Z56" s="27"/>
      <c r="AA56" s="27"/>
      <c r="AB56" s="27"/>
    </row>
    <row r="57" spans="2:31" x14ac:dyDescent="0.25">
      <c r="B57" s="1"/>
      <c r="I57" s="4"/>
      <c r="J57" s="1"/>
      <c r="N57" s="21"/>
      <c r="O57" s="1"/>
      <c r="P57" s="1"/>
      <c r="Q57" s="21"/>
      <c r="V57" s="3"/>
      <c r="W57" s="3"/>
      <c r="X57" s="3"/>
    </row>
    <row r="58" spans="2:31" x14ac:dyDescent="0.25">
      <c r="I58" s="4"/>
      <c r="J58" s="1"/>
      <c r="N58" s="21"/>
      <c r="O58" s="21"/>
      <c r="P58" s="21"/>
      <c r="Q58" s="21"/>
      <c r="R58" s="4"/>
      <c r="S58" s="4"/>
      <c r="T58" s="4"/>
      <c r="U58" s="4"/>
      <c r="V58" s="3"/>
      <c r="W58" s="3"/>
      <c r="X58" s="3"/>
    </row>
    <row r="59" spans="2:31" x14ac:dyDescent="0.25">
      <c r="B59" s="1"/>
      <c r="I59" s="4"/>
      <c r="J59" s="1"/>
      <c r="N59" s="21"/>
      <c r="O59" s="21"/>
      <c r="P59" s="21"/>
      <c r="Q59" s="21"/>
      <c r="V59" s="3"/>
      <c r="W59" s="3"/>
      <c r="X59" s="3"/>
    </row>
    <row r="60" spans="2:31" x14ac:dyDescent="0.25">
      <c r="AE60" s="28"/>
    </row>
    <row r="61" spans="2:31" x14ac:dyDescent="0.25">
      <c r="AE61" s="28"/>
    </row>
    <row r="66" spans="2:28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2:28" x14ac:dyDescent="0.25">
      <c r="L67" s="58"/>
      <c r="M67" s="8"/>
      <c r="N67" s="8"/>
      <c r="O67" s="8"/>
      <c r="P67" s="8"/>
      <c r="Q67" s="3"/>
    </row>
    <row r="68" spans="2:28" x14ac:dyDescent="0.25">
      <c r="B68" s="1"/>
      <c r="J68" s="1"/>
      <c r="L68" s="8"/>
      <c r="M68" s="8"/>
      <c r="N68" s="8"/>
      <c r="O68" s="8"/>
      <c r="P68" s="8"/>
      <c r="Q68" s="3"/>
      <c r="V68" s="21"/>
      <c r="W68" s="21"/>
      <c r="X68" s="21"/>
      <c r="Z68" s="46"/>
      <c r="AA68" s="46"/>
      <c r="AB68" s="46"/>
    </row>
    <row r="69" spans="2:28" x14ac:dyDescent="0.25">
      <c r="L69" s="8"/>
      <c r="M69" s="58"/>
      <c r="N69" s="8"/>
      <c r="O69" s="8"/>
      <c r="P69" s="8"/>
      <c r="Q69" s="3"/>
      <c r="V69" s="21"/>
      <c r="W69" s="21"/>
      <c r="X69" s="21"/>
      <c r="Z69" s="46"/>
      <c r="AA69" s="46"/>
      <c r="AB69" s="46"/>
    </row>
    <row r="70" spans="2:28" x14ac:dyDescent="0.25">
      <c r="B70" s="1"/>
      <c r="L70" s="8"/>
      <c r="M70" s="8"/>
      <c r="N70" s="8"/>
      <c r="O70" s="8"/>
      <c r="P70" s="8"/>
      <c r="Q70" s="3"/>
      <c r="V70" s="21"/>
      <c r="W70" s="21"/>
      <c r="X70" s="21"/>
      <c r="Z70" s="46"/>
      <c r="AA70" s="46"/>
      <c r="AB70" s="46"/>
    </row>
    <row r="71" spans="2:28" x14ac:dyDescent="0.25">
      <c r="L71" s="8"/>
      <c r="M71" s="8"/>
      <c r="N71" s="58"/>
      <c r="O71" s="8"/>
      <c r="P71" s="8"/>
      <c r="Q71" s="3"/>
      <c r="V71" s="21"/>
      <c r="W71" s="21"/>
      <c r="X71" s="21"/>
      <c r="Z71" s="46"/>
      <c r="AA71" s="46"/>
      <c r="AB71" s="46"/>
    </row>
    <row r="72" spans="2:28" x14ac:dyDescent="0.25">
      <c r="L72" s="8"/>
      <c r="M72" s="8"/>
      <c r="N72" s="58"/>
      <c r="O72" s="8"/>
      <c r="P72" s="8"/>
      <c r="Q72" s="3"/>
      <c r="V72" s="21"/>
      <c r="W72" s="21"/>
      <c r="X72" s="21"/>
      <c r="Z72" s="46"/>
      <c r="AA72" s="46"/>
      <c r="AB72" s="46"/>
    </row>
    <row r="73" spans="2:28" x14ac:dyDescent="0.25">
      <c r="B73" s="1"/>
      <c r="L73" s="58"/>
      <c r="M73" s="8"/>
      <c r="N73" s="58"/>
      <c r="O73" s="8"/>
      <c r="P73" s="8"/>
      <c r="Q73" s="3"/>
      <c r="V73" s="21"/>
      <c r="W73" s="21"/>
      <c r="X73" s="21"/>
      <c r="Z73" s="46"/>
      <c r="AA73" s="46"/>
      <c r="AB73" s="46"/>
    </row>
    <row r="74" spans="2:28" x14ac:dyDescent="0.25">
      <c r="L74" s="58"/>
      <c r="M74" s="8"/>
      <c r="N74" s="58"/>
      <c r="O74" s="8"/>
      <c r="P74" s="8"/>
      <c r="Q74" s="3"/>
      <c r="V74" s="21"/>
      <c r="W74" s="21"/>
      <c r="X74" s="21"/>
      <c r="Z74" s="46"/>
      <c r="AA74" s="46"/>
      <c r="AB74" s="46"/>
    </row>
    <row r="75" spans="2:28" x14ac:dyDescent="0.25">
      <c r="L75" s="58"/>
      <c r="M75" s="58"/>
      <c r="N75" s="58"/>
      <c r="O75" s="8"/>
      <c r="P75" s="8"/>
      <c r="Q75" s="3"/>
      <c r="V75" s="21"/>
      <c r="W75" s="21"/>
      <c r="X75" s="21"/>
      <c r="Z75" s="46"/>
      <c r="AA75" s="46"/>
      <c r="AB75" s="46"/>
    </row>
    <row r="76" spans="2:28" x14ac:dyDescent="0.25">
      <c r="B76" s="1"/>
      <c r="F76" s="2"/>
      <c r="G76" s="2"/>
      <c r="H76" s="2"/>
      <c r="L76" s="58"/>
      <c r="M76" s="8"/>
      <c r="N76" s="58"/>
      <c r="O76" s="8"/>
      <c r="P76" s="8"/>
      <c r="Q76" s="3"/>
      <c r="V76" s="21"/>
      <c r="W76" s="21"/>
      <c r="X76" s="21"/>
      <c r="Z76" s="46"/>
      <c r="AA76" s="46"/>
      <c r="AB76" s="46"/>
    </row>
    <row r="77" spans="2:28" x14ac:dyDescent="0.25">
      <c r="F77" s="4"/>
      <c r="G77" s="3"/>
      <c r="H77" s="46"/>
      <c r="L77" s="8"/>
      <c r="M77" s="8"/>
      <c r="N77" s="8"/>
      <c r="O77" s="8"/>
      <c r="P77" s="8"/>
      <c r="Q77" s="3"/>
    </row>
    <row r="78" spans="2:28" x14ac:dyDescent="0.25">
      <c r="F78" s="4"/>
      <c r="G78" s="3"/>
      <c r="H78" s="3"/>
      <c r="L78" s="4"/>
      <c r="M78" s="4"/>
      <c r="N78" s="4"/>
      <c r="Q78" s="3"/>
      <c r="Z78" s="4"/>
      <c r="AA78" s="4"/>
      <c r="AB78" s="4"/>
    </row>
    <row r="79" spans="2:28" x14ac:dyDescent="0.25">
      <c r="B79" s="1"/>
      <c r="F79" s="4"/>
      <c r="G79" s="3"/>
      <c r="H79" s="3"/>
      <c r="J79" s="41"/>
      <c r="L79" s="4"/>
      <c r="M79" s="4"/>
      <c r="N79" s="4"/>
      <c r="Q79" s="3"/>
    </row>
    <row r="80" spans="2:28" x14ac:dyDescent="0.25">
      <c r="F80" s="4"/>
      <c r="G80" s="3"/>
      <c r="H80" s="46"/>
      <c r="L80" s="4"/>
      <c r="M80" s="4"/>
      <c r="N80" s="4"/>
      <c r="Q80" s="3"/>
    </row>
    <row r="81" spans="6:28" x14ac:dyDescent="0.25">
      <c r="F81" s="4"/>
      <c r="G81" s="3"/>
      <c r="H81" s="3"/>
      <c r="Q81" s="3"/>
    </row>
    <row r="82" spans="6:28" x14ac:dyDescent="0.25">
      <c r="F82" s="4"/>
      <c r="G82" s="3"/>
      <c r="H82" s="3"/>
      <c r="I82" s="4"/>
      <c r="J82" s="1"/>
      <c r="O82" s="28"/>
      <c r="P82" s="28"/>
      <c r="Q82" s="3"/>
    </row>
    <row r="83" spans="6:28" x14ac:dyDescent="0.25">
      <c r="F83" s="4"/>
      <c r="G83" s="3"/>
      <c r="H83" s="3"/>
      <c r="I83" s="4"/>
      <c r="J83" s="1"/>
      <c r="O83" s="28"/>
      <c r="P83" s="28"/>
      <c r="Q83" s="3"/>
      <c r="W83" s="28"/>
    </row>
    <row r="84" spans="6:28" x14ac:dyDescent="0.25">
      <c r="F84" s="4"/>
      <c r="G84" s="3"/>
      <c r="H84" s="3"/>
      <c r="I84" s="4"/>
      <c r="J84" s="1"/>
      <c r="N84" s="4"/>
      <c r="O84" s="28"/>
      <c r="P84" s="28"/>
      <c r="Q84" s="28"/>
      <c r="R84" s="4"/>
      <c r="S84" s="4"/>
      <c r="T84" s="4"/>
      <c r="U84" s="4"/>
      <c r="V84" s="4"/>
      <c r="W84" s="26"/>
      <c r="X84" s="4"/>
      <c r="Z84" s="27"/>
      <c r="AA84" s="27"/>
      <c r="AB84" s="27"/>
    </row>
    <row r="85" spans="6:28" x14ac:dyDescent="0.25">
      <c r="F85" s="4"/>
      <c r="G85" s="3"/>
      <c r="H85" s="56"/>
      <c r="I85" s="4"/>
      <c r="J85" s="1"/>
      <c r="K85" s="28"/>
      <c r="L85" s="28"/>
      <c r="N85" s="4"/>
      <c r="O85" s="4"/>
      <c r="P85" s="4"/>
      <c r="Q85" s="3"/>
      <c r="R85" s="4"/>
      <c r="S85" s="4"/>
      <c r="T85" s="4"/>
      <c r="U85" s="4"/>
      <c r="V85" s="4"/>
      <c r="W85" s="26"/>
      <c r="X85" s="4"/>
      <c r="Z85" s="27"/>
      <c r="AA85" s="27"/>
      <c r="AB85" s="27"/>
    </row>
    <row r="86" spans="6:28" x14ac:dyDescent="0.25">
      <c r="F86" s="4"/>
      <c r="G86" s="3"/>
      <c r="H86" s="3"/>
      <c r="I86" s="4"/>
      <c r="J86" s="1"/>
      <c r="K86" s="28"/>
      <c r="L86" s="28"/>
      <c r="N86" s="4"/>
      <c r="O86" s="1"/>
      <c r="P86" s="1"/>
      <c r="Q86" s="4"/>
      <c r="R86" s="4"/>
      <c r="S86" s="4"/>
      <c r="T86" s="4"/>
      <c r="U86" s="4"/>
      <c r="V86" s="4"/>
      <c r="W86" s="26"/>
      <c r="X86" s="4"/>
      <c r="Z86" s="27"/>
      <c r="AA86" s="27"/>
      <c r="AB86" s="27"/>
    </row>
    <row r="87" spans="6:28" x14ac:dyDescent="0.25">
      <c r="H87" s="15"/>
      <c r="I87" s="4"/>
      <c r="J87" s="1"/>
      <c r="R87" s="4"/>
      <c r="S87" s="4"/>
      <c r="T87" s="4"/>
      <c r="U87" s="4"/>
      <c r="Z87" s="27"/>
      <c r="AA87" s="27"/>
      <c r="AB87" s="27"/>
    </row>
    <row r="88" spans="6:28" x14ac:dyDescent="0.25">
      <c r="I88" s="4"/>
      <c r="J88" s="1"/>
      <c r="N88" s="21"/>
      <c r="O88" s="21"/>
      <c r="P88" s="21"/>
      <c r="Q88" s="21"/>
      <c r="R88" s="4"/>
      <c r="S88" s="4"/>
      <c r="T88" s="4"/>
      <c r="U88" s="4"/>
      <c r="V88" s="3"/>
      <c r="W88" s="3"/>
      <c r="X88" s="3"/>
      <c r="Z88" s="27"/>
      <c r="AA88" s="27"/>
      <c r="AB88" s="27"/>
    </row>
    <row r="89" spans="6:28" x14ac:dyDescent="0.25">
      <c r="I89" s="4"/>
      <c r="J89" s="1"/>
      <c r="N89" s="21"/>
      <c r="O89" s="1"/>
      <c r="P89" s="1"/>
      <c r="Q89" s="21"/>
      <c r="V89" s="3"/>
      <c r="W89" s="3"/>
      <c r="X89" s="3"/>
    </row>
    <row r="90" spans="6:28" x14ac:dyDescent="0.25">
      <c r="I90" s="4"/>
      <c r="J90" s="1"/>
      <c r="N90" s="21"/>
      <c r="O90" s="21"/>
      <c r="P90" s="21"/>
      <c r="Q90" s="21"/>
      <c r="R90" s="4"/>
      <c r="S90" s="4"/>
      <c r="T90" s="4"/>
      <c r="U90" s="4"/>
      <c r="V90" s="3"/>
      <c r="W90" s="3"/>
      <c r="X90" s="3"/>
    </row>
    <row r="91" spans="6:28" x14ac:dyDescent="0.25">
      <c r="I91" s="4"/>
      <c r="J91" s="1"/>
      <c r="N91" s="21"/>
      <c r="O91" s="21"/>
      <c r="P91" s="21"/>
      <c r="Q91" s="21"/>
      <c r="V91" s="3"/>
      <c r="W91" s="3"/>
      <c r="X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C4" sqref="C4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133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123</v>
      </c>
      <c r="K5">
        <v>901</v>
      </c>
      <c r="L5">
        <f t="shared" ref="L5:L35" si="1">INT(1000000/(K5+41)-41)</f>
        <v>1020</v>
      </c>
      <c r="N5" t="s">
        <v>134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132</v>
      </c>
      <c r="K6">
        <v>902</v>
      </c>
      <c r="L6">
        <f t="shared" si="1"/>
        <v>1019</v>
      </c>
      <c r="N6" t="s">
        <v>135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124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125</v>
      </c>
      <c r="I8" s="48">
        <v>1000</v>
      </c>
      <c r="K8">
        <v>904</v>
      </c>
      <c r="L8">
        <f t="shared" si="1"/>
        <v>1017</v>
      </c>
      <c r="N8" t="s">
        <v>125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126</v>
      </c>
      <c r="I9" s="48">
        <v>500</v>
      </c>
      <c r="K9">
        <v>905</v>
      </c>
      <c r="L9">
        <f t="shared" si="1"/>
        <v>1016</v>
      </c>
      <c r="N9" t="s">
        <v>126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127</v>
      </c>
      <c r="I10" s="48">
        <v>807</v>
      </c>
      <c r="K10">
        <v>906</v>
      </c>
      <c r="L10">
        <f t="shared" si="1"/>
        <v>1014</v>
      </c>
      <c r="N10" t="s">
        <v>127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128</v>
      </c>
      <c r="I11" s="48">
        <v>569</v>
      </c>
      <c r="K11" s="49">
        <v>907</v>
      </c>
      <c r="L11" s="49">
        <f t="shared" si="1"/>
        <v>1013</v>
      </c>
      <c r="N11" t="s">
        <v>128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131</v>
      </c>
      <c r="I12" s="48">
        <v>1672488000</v>
      </c>
      <c r="K12">
        <v>908</v>
      </c>
      <c r="L12">
        <f t="shared" si="1"/>
        <v>1012</v>
      </c>
      <c r="N12" t="s">
        <v>131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129</v>
      </c>
      <c r="I13" s="49">
        <v>807</v>
      </c>
      <c r="K13">
        <v>909</v>
      </c>
      <c r="L13">
        <f t="shared" si="1"/>
        <v>1011</v>
      </c>
      <c r="N13" t="s">
        <v>129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130</v>
      </c>
      <c r="I14" s="49">
        <v>1138</v>
      </c>
      <c r="K14">
        <v>1260</v>
      </c>
      <c r="L14">
        <f t="shared" si="1"/>
        <v>727</v>
      </c>
      <c r="N14" t="s">
        <v>130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1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1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1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2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test10oracleRewards</vt:lpstr>
      <vt:lpstr>test10bitDecoding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2023-08-03T00:53:12Z</dcterms:modified>
</cp:coreProperties>
</file>