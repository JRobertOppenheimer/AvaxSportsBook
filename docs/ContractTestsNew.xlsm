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ric\Documents\Github\sporteth0\docs\"/>
    </mc:Choice>
  </mc:AlternateContent>
  <xr:revisionPtr revIDLastSave="0" documentId="13_ncr:1_{76A705B5-D827-4633-9659-5FF40EADD866}" xr6:coauthVersionLast="47" xr6:coauthVersionMax="47" xr10:uidLastSave="{00000000-0000-0000-0000-000000000000}"/>
  <bookViews>
    <workbookView xWindow="30405" yWindow="3705" windowWidth="21600" windowHeight="11295" tabRatio="763" firstSheet="4" activeTab="10" xr2:uid="{00000000-000D-0000-FFFF-FFFF00000000}"/>
  </bookViews>
  <sheets>
    <sheet name="test1BasicMargining" sheetId="1" r:id="rId1"/>
    <sheet name="test2BasicMargining" sheetId="27" r:id="rId2"/>
    <sheet name="test3oddsChange" sheetId="15" r:id="rId3"/>
    <sheet name="test4Redemptions" sheetId="24" r:id="rId4"/>
    <sheet name="Test5BigBet" sheetId="14" r:id="rId5"/>
    <sheet name="test6OracleVoting" sheetId="18" r:id="rId6"/>
    <sheet name="test7LPRevenue" sheetId="20" r:id="rId7"/>
    <sheet name="test8OracleRevenue" sheetId="29" r:id="rId8"/>
    <sheet name="test9Oracle2" sheetId="31" r:id="rId9"/>
    <sheet name="test10oracleRewards" sheetId="32" r:id="rId10"/>
    <sheet name="test10bitDecoding" sheetId="28" r:id="rId11"/>
  </sheets>
  <definedNames>
    <definedName name="_xlnm.Print_Area" localSheetId="0">test1BasicMargining!$O$36:$P$41</definedName>
    <definedName name="_xlnm.Print_Area" localSheetId="1">test2BasicMargining!$Q$36:$R$41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47" i="29" l="1"/>
  <c r="H48" i="29"/>
  <c r="O48" i="29" s="1"/>
  <c r="O49" i="29" s="1"/>
  <c r="N48" i="29"/>
  <c r="U48" i="29"/>
  <c r="Y48" i="29" s="1"/>
  <c r="V48" i="29"/>
  <c r="R48" i="29" s="1"/>
  <c r="W48" i="29"/>
  <c r="S48" i="29" s="1"/>
  <c r="X48" i="29"/>
  <c r="T48" i="29" s="1"/>
  <c r="N49" i="29"/>
  <c r="U49" i="29" s="1"/>
  <c r="W49" i="29"/>
  <c r="H50" i="29"/>
  <c r="O50" i="29" s="1"/>
  <c r="N50" i="29"/>
  <c r="U50" i="29" s="1"/>
  <c r="N51" i="29"/>
  <c r="U51" i="29" s="1"/>
  <c r="X51" i="29"/>
  <c r="H52" i="29"/>
  <c r="N52" i="29"/>
  <c r="U52" i="29" s="1"/>
  <c r="N53" i="29"/>
  <c r="U53" i="29" s="1"/>
  <c r="H54" i="29"/>
  <c r="N54" i="29"/>
  <c r="U54" i="29" s="1"/>
  <c r="N55" i="29"/>
  <c r="W55" i="29" s="1"/>
  <c r="U55" i="29"/>
  <c r="V55" i="29"/>
  <c r="H56" i="29"/>
  <c r="N56" i="29"/>
  <c r="W56" i="29" s="1"/>
  <c r="S56" i="29" s="1"/>
  <c r="U56" i="29"/>
  <c r="V56" i="29"/>
  <c r="R56" i="29" s="1"/>
  <c r="M33" i="29"/>
  <c r="H34" i="29"/>
  <c r="N34" i="29" s="1"/>
  <c r="N35" i="29" s="1"/>
  <c r="M34" i="29"/>
  <c r="R34" i="29"/>
  <c r="S34" i="29"/>
  <c r="O34" i="29" s="1"/>
  <c r="T34" i="29"/>
  <c r="P34" i="29" s="1"/>
  <c r="U34" i="29"/>
  <c r="Q34" i="29" s="1"/>
  <c r="M35" i="29"/>
  <c r="S35" i="29" s="1"/>
  <c r="R35" i="29"/>
  <c r="H36" i="29"/>
  <c r="N36" i="29" s="1"/>
  <c r="N37" i="29" s="1"/>
  <c r="M36" i="29"/>
  <c r="T36" i="29" s="1"/>
  <c r="P36" i="29" s="1"/>
  <c r="R36" i="29"/>
  <c r="S36" i="29"/>
  <c r="O36" i="29" s="1"/>
  <c r="M37" i="29"/>
  <c r="S37" i="29" s="1"/>
  <c r="R37" i="29"/>
  <c r="T37" i="29"/>
  <c r="U37" i="29"/>
  <c r="H38" i="29"/>
  <c r="M38" i="29"/>
  <c r="S38" i="29" s="1"/>
  <c r="O38" i="29" s="1"/>
  <c r="R38" i="29"/>
  <c r="M39" i="29"/>
  <c r="S39" i="29" s="1"/>
  <c r="R39" i="29"/>
  <c r="H40" i="29"/>
  <c r="M40" i="29"/>
  <c r="S40" i="29" s="1"/>
  <c r="O40" i="29" s="1"/>
  <c r="Z37" i="29" s="1"/>
  <c r="R40" i="29"/>
  <c r="AA40" i="29"/>
  <c r="M41" i="29"/>
  <c r="R41" i="29"/>
  <c r="S41" i="29"/>
  <c r="T41" i="29"/>
  <c r="U41" i="29"/>
  <c r="H42" i="29"/>
  <c r="M42" i="29"/>
  <c r="S42" i="29" s="1"/>
  <c r="O42" i="29" s="1"/>
  <c r="R42" i="29"/>
  <c r="AA22" i="29"/>
  <c r="AA23" i="29"/>
  <c r="AA24" i="29"/>
  <c r="AA21" i="29"/>
  <c r="H14" i="29"/>
  <c r="AB24" i="29"/>
  <c r="AB23" i="29"/>
  <c r="AB22" i="29"/>
  <c r="AB21" i="29"/>
  <c r="AA25" i="29"/>
  <c r="U28" i="29"/>
  <c r="S28" i="29"/>
  <c r="M28" i="29"/>
  <c r="T28" i="29" s="1"/>
  <c r="M27" i="29"/>
  <c r="U27" i="29" s="1"/>
  <c r="T26" i="29"/>
  <c r="S26" i="29"/>
  <c r="P26" i="29"/>
  <c r="O26" i="29"/>
  <c r="M26" i="29"/>
  <c r="U26" i="29" s="1"/>
  <c r="H26" i="29"/>
  <c r="U25" i="29"/>
  <c r="T25" i="29"/>
  <c r="M25" i="29"/>
  <c r="S25" i="29" s="1"/>
  <c r="V25" i="29" s="1"/>
  <c r="U24" i="29"/>
  <c r="Q24" i="29" s="1"/>
  <c r="T24" i="29"/>
  <c r="P24" i="29" s="1"/>
  <c r="M24" i="29"/>
  <c r="S24" i="29" s="1"/>
  <c r="H24" i="29"/>
  <c r="U23" i="29"/>
  <c r="T23" i="29"/>
  <c r="S23" i="29"/>
  <c r="V23" i="29" s="1"/>
  <c r="M23" i="29"/>
  <c r="U22" i="29"/>
  <c r="S22" i="29"/>
  <c r="M22" i="29"/>
  <c r="T22" i="29" s="1"/>
  <c r="P22" i="29" s="1"/>
  <c r="H22" i="29"/>
  <c r="Q22" i="29" s="1"/>
  <c r="M21" i="29"/>
  <c r="U21" i="29" s="1"/>
  <c r="T20" i="29"/>
  <c r="S20" i="29"/>
  <c r="P20" i="29"/>
  <c r="O20" i="29"/>
  <c r="M20" i="29"/>
  <c r="U20" i="29" s="1"/>
  <c r="H20" i="29"/>
  <c r="N20" i="29" s="1"/>
  <c r="N21" i="29" s="1"/>
  <c r="M19" i="29"/>
  <c r="L14" i="1"/>
  <c r="H12" i="29"/>
  <c r="G30" i="32"/>
  <c r="O32" i="32"/>
  <c r="N32" i="32"/>
  <c r="M32" i="32"/>
  <c r="H38" i="32"/>
  <c r="F38" i="32"/>
  <c r="I31" i="32"/>
  <c r="H31" i="32"/>
  <c r="E31" i="32"/>
  <c r="E30" i="32"/>
  <c r="I29" i="32"/>
  <c r="E29" i="32"/>
  <c r="I28" i="32"/>
  <c r="I30" i="32" s="1"/>
  <c r="E28" i="32"/>
  <c r="I27" i="32"/>
  <c r="H10" i="29"/>
  <c r="H8" i="29"/>
  <c r="H6" i="29"/>
  <c r="E34" i="20"/>
  <c r="F34" i="20"/>
  <c r="G34" i="20"/>
  <c r="D34" i="20"/>
  <c r="I31" i="20"/>
  <c r="I34" i="20" s="1"/>
  <c r="I32" i="20"/>
  <c r="I33" i="20"/>
  <c r="F36" i="20"/>
  <c r="G36" i="20" s="1"/>
  <c r="H36" i="20" s="1"/>
  <c r="I36" i="20" s="1"/>
  <c r="E36" i="20"/>
  <c r="I24" i="20"/>
  <c r="H24" i="20"/>
  <c r="H19" i="20"/>
  <c r="G21" i="20"/>
  <c r="G24" i="20"/>
  <c r="E32" i="20"/>
  <c r="F32" i="20"/>
  <c r="G32" i="20"/>
  <c r="H32" i="20"/>
  <c r="E33" i="20"/>
  <c r="F33" i="20"/>
  <c r="G33" i="20"/>
  <c r="H33" i="20"/>
  <c r="F31" i="20"/>
  <c r="G31" i="20"/>
  <c r="H31" i="20"/>
  <c r="H34" i="20" s="1"/>
  <c r="E31" i="20"/>
  <c r="D31" i="20"/>
  <c r="F24" i="20"/>
  <c r="F25" i="20" s="1"/>
  <c r="F20" i="20"/>
  <c r="E20" i="20"/>
  <c r="E22" i="20" s="1"/>
  <c r="Q50" i="29" l="1"/>
  <c r="O51" i="29"/>
  <c r="O52" i="29"/>
  <c r="Q54" i="29"/>
  <c r="AB51" i="29" s="1"/>
  <c r="Y55" i="29"/>
  <c r="Q52" i="29"/>
  <c r="Y51" i="29"/>
  <c r="X50" i="29"/>
  <c r="T50" i="29" s="1"/>
  <c r="L22" i="32" s="1"/>
  <c r="X52" i="29"/>
  <c r="T52" i="29" s="1"/>
  <c r="L23" i="32" s="1"/>
  <c r="W50" i="29"/>
  <c r="S50" i="29" s="1"/>
  <c r="Q56" i="29"/>
  <c r="X54" i="29"/>
  <c r="T54" i="29" s="1"/>
  <c r="L25" i="32" s="1"/>
  <c r="W52" i="29"/>
  <c r="S52" i="29" s="1"/>
  <c r="V50" i="29"/>
  <c r="R50" i="29" s="1"/>
  <c r="X49" i="29"/>
  <c r="W54" i="29"/>
  <c r="S54" i="29" s="1"/>
  <c r="L30" i="32" s="1"/>
  <c r="V52" i="29"/>
  <c r="R52" i="29" s="1"/>
  <c r="V54" i="29"/>
  <c r="R54" i="29" s="1"/>
  <c r="X53" i="29"/>
  <c r="W51" i="29"/>
  <c r="V49" i="29"/>
  <c r="Y49" i="29" s="1"/>
  <c r="Q48" i="29"/>
  <c r="W53" i="29"/>
  <c r="V51" i="29"/>
  <c r="V53" i="29"/>
  <c r="Y53" i="29" s="1"/>
  <c r="X56" i="29"/>
  <c r="T56" i="29" s="1"/>
  <c r="X55" i="29"/>
  <c r="Z36" i="29"/>
  <c r="Z35" i="29"/>
  <c r="N38" i="29"/>
  <c r="N39" i="29" s="1"/>
  <c r="N40" i="29"/>
  <c r="N41" i="29" s="1"/>
  <c r="U38" i="29"/>
  <c r="Q38" i="29" s="1"/>
  <c r="T38" i="29"/>
  <c r="P38" i="29" s="1"/>
  <c r="U42" i="29"/>
  <c r="Q42" i="29" s="1"/>
  <c r="U39" i="29"/>
  <c r="U35" i="29"/>
  <c r="T39" i="29"/>
  <c r="U36" i="29"/>
  <c r="Q36" i="29" s="1"/>
  <c r="T35" i="29"/>
  <c r="T42" i="29"/>
  <c r="P42" i="29" s="1"/>
  <c r="U40" i="29"/>
  <c r="Q40" i="29" s="1"/>
  <c r="T40" i="29"/>
  <c r="P40" i="29" s="1"/>
  <c r="V22" i="29"/>
  <c r="H28" i="29"/>
  <c r="O28" i="29" s="1"/>
  <c r="V20" i="29"/>
  <c r="Q20" i="29"/>
  <c r="O24" i="29"/>
  <c r="V24" i="29"/>
  <c r="V26" i="29"/>
  <c r="Q26" i="29"/>
  <c r="V28" i="29"/>
  <c r="N22" i="29"/>
  <c r="O22" i="29"/>
  <c r="S21" i="29"/>
  <c r="T21" i="29"/>
  <c r="T27" i="29"/>
  <c r="S27" i="29"/>
  <c r="V27" i="29" s="1"/>
  <c r="E25" i="20"/>
  <c r="E21" i="20"/>
  <c r="F21" i="20"/>
  <c r="F22" i="20"/>
  <c r="AB53" i="29" l="1"/>
  <c r="L28" i="32"/>
  <c r="L26" i="32"/>
  <c r="Y52" i="29"/>
  <c r="Y54" i="29"/>
  <c r="O53" i="29"/>
  <c r="O54" i="29"/>
  <c r="AC49" i="29"/>
  <c r="AB50" i="29"/>
  <c r="G35" i="32" s="1"/>
  <c r="AB52" i="29"/>
  <c r="G37" i="32" s="1"/>
  <c r="L31" i="32"/>
  <c r="Y50" i="29"/>
  <c r="L29" i="32"/>
  <c r="AB49" i="29"/>
  <c r="L24" i="32"/>
  <c r="L27" i="32"/>
  <c r="Y56" i="29"/>
  <c r="Z38" i="29"/>
  <c r="N42" i="29"/>
  <c r="N43" i="29" s="1"/>
  <c r="P28" i="29"/>
  <c r="N24" i="29"/>
  <c r="N23" i="29"/>
  <c r="Q28" i="29"/>
  <c r="V21" i="29"/>
  <c r="G36" i="32"/>
  <c r="N22" i="24"/>
  <c r="K6" i="24"/>
  <c r="O17" i="24"/>
  <c r="O5" i="24"/>
  <c r="N5" i="24"/>
  <c r="K11" i="24"/>
  <c r="K5" i="24"/>
  <c r="K4" i="24"/>
  <c r="F5" i="24"/>
  <c r="F6" i="24"/>
  <c r="K12" i="24" s="1"/>
  <c r="F7" i="24"/>
  <c r="F8" i="24"/>
  <c r="F9" i="24"/>
  <c r="F10" i="24"/>
  <c r="F11" i="24"/>
  <c r="F12" i="24"/>
  <c r="F13" i="24"/>
  <c r="F14" i="24"/>
  <c r="F15" i="24"/>
  <c r="F16" i="24"/>
  <c r="F17" i="24"/>
  <c r="F18" i="24"/>
  <c r="F19" i="24"/>
  <c r="F20" i="24"/>
  <c r="F21" i="24"/>
  <c r="F22" i="24"/>
  <c r="F23" i="24"/>
  <c r="F24" i="24"/>
  <c r="F25" i="24"/>
  <c r="F26" i="24"/>
  <c r="F27" i="24"/>
  <c r="F28" i="24"/>
  <c r="F29" i="24"/>
  <c r="F30" i="24"/>
  <c r="F31" i="24"/>
  <c r="F32" i="24"/>
  <c r="F33" i="24"/>
  <c r="F34" i="24"/>
  <c r="F35" i="24"/>
  <c r="F4" i="24"/>
  <c r="N15" i="15"/>
  <c r="N12" i="15"/>
  <c r="N11" i="15"/>
  <c r="N8" i="15"/>
  <c r="N7" i="15"/>
  <c r="N4" i="15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E33" i="15"/>
  <c r="E34" i="15"/>
  <c r="E35" i="15"/>
  <c r="E4" i="15"/>
  <c r="N27" i="27"/>
  <c r="N26" i="27"/>
  <c r="N25" i="27"/>
  <c r="N20" i="27"/>
  <c r="N19" i="27"/>
  <c r="N18" i="27"/>
  <c r="N13" i="27"/>
  <c r="N12" i="27"/>
  <c r="N11" i="27"/>
  <c r="N6" i="27"/>
  <c r="N5" i="27"/>
  <c r="N4" i="27"/>
  <c r="F35" i="27"/>
  <c r="F34" i="27"/>
  <c r="F33" i="27"/>
  <c r="F32" i="27"/>
  <c r="F31" i="27"/>
  <c r="F30" i="27"/>
  <c r="F29" i="27"/>
  <c r="F28" i="27"/>
  <c r="F27" i="27"/>
  <c r="F26" i="27"/>
  <c r="F25" i="27"/>
  <c r="F24" i="27"/>
  <c r="F23" i="27"/>
  <c r="F22" i="27"/>
  <c r="F21" i="27"/>
  <c r="F20" i="27"/>
  <c r="F19" i="27"/>
  <c r="F18" i="27"/>
  <c r="F17" i="27"/>
  <c r="F16" i="27"/>
  <c r="F15" i="27"/>
  <c r="F14" i="27"/>
  <c r="F13" i="27"/>
  <c r="F12" i="27"/>
  <c r="F11" i="27"/>
  <c r="F10" i="27"/>
  <c r="F9" i="27"/>
  <c r="F8" i="27"/>
  <c r="F7" i="27"/>
  <c r="F6" i="27"/>
  <c r="F5" i="27"/>
  <c r="F4" i="27"/>
  <c r="L26" i="1"/>
  <c r="L25" i="1"/>
  <c r="L20" i="1"/>
  <c r="L18" i="1"/>
  <c r="L13" i="1"/>
  <c r="L6" i="1"/>
  <c r="L4" i="1"/>
  <c r="L11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L27" i="1" s="1"/>
  <c r="F6" i="1"/>
  <c r="L19" i="1" s="1"/>
  <c r="F5" i="1"/>
  <c r="L12" i="1" s="1"/>
  <c r="F4" i="1"/>
  <c r="L8" i="14"/>
  <c r="L6" i="14"/>
  <c r="F5" i="14"/>
  <c r="F6" i="14"/>
  <c r="F7" i="14"/>
  <c r="F8" i="14"/>
  <c r="F9" i="14"/>
  <c r="F10" i="14"/>
  <c r="F11" i="14"/>
  <c r="F12" i="14"/>
  <c r="F13" i="14"/>
  <c r="F14" i="14"/>
  <c r="F15" i="14"/>
  <c r="F16" i="14"/>
  <c r="F17" i="14"/>
  <c r="F18" i="14"/>
  <c r="F19" i="14"/>
  <c r="F20" i="14"/>
  <c r="F21" i="14"/>
  <c r="F22" i="14"/>
  <c r="F23" i="14"/>
  <c r="F24" i="14"/>
  <c r="F25" i="14"/>
  <c r="F26" i="14"/>
  <c r="F27" i="14"/>
  <c r="F28" i="14"/>
  <c r="F29" i="14"/>
  <c r="F30" i="14"/>
  <c r="F31" i="14"/>
  <c r="F32" i="14"/>
  <c r="F33" i="14"/>
  <c r="F34" i="14"/>
  <c r="F35" i="14"/>
  <c r="F4" i="14"/>
  <c r="K19" i="14"/>
  <c r="K18" i="14"/>
  <c r="O18" i="14"/>
  <c r="N18" i="14"/>
  <c r="M15" i="14"/>
  <c r="O56" i="29" l="1"/>
  <c r="AC50" i="29"/>
  <c r="O55" i="29"/>
  <c r="AC53" i="29"/>
  <c r="N25" i="29"/>
  <c r="N26" i="29"/>
  <c r="M14" i="14"/>
  <c r="AC52" i="29" l="1"/>
  <c r="O57" i="29"/>
  <c r="AC51" i="29"/>
  <c r="N27" i="29"/>
  <c r="N28" i="29"/>
  <c r="N29" i="29" s="1"/>
  <c r="G34" i="32"/>
  <c r="G38" i="32" s="1"/>
  <c r="G41" i="32"/>
  <c r="L18" i="14"/>
  <c r="M18" i="14" s="1"/>
  <c r="G2" i="20" l="1"/>
  <c r="K9" i="14" l="1"/>
  <c r="L19" i="14"/>
  <c r="L7" i="14"/>
  <c r="O6" i="24"/>
  <c r="L5" i="24"/>
  <c r="L6" i="24"/>
  <c r="M8" i="14" l="1"/>
  <c r="N8" i="14"/>
  <c r="M7" i="14"/>
  <c r="N7" i="14"/>
  <c r="L9" i="14"/>
  <c r="M19" i="14"/>
  <c r="K27" i="14" s="1"/>
  <c r="N19" i="14"/>
  <c r="K24" i="14" l="1"/>
  <c r="M24" i="14" s="1"/>
  <c r="K26" i="14"/>
  <c r="M9" i="14"/>
  <c r="K21" i="14" s="1"/>
  <c r="R38" i="1"/>
  <c r="K25" i="14" l="1"/>
  <c r="D36" i="28"/>
  <c r="D39" i="28"/>
  <c r="C39" i="28"/>
  <c r="C38" i="28"/>
  <c r="D37" i="28"/>
  <c r="F37" i="14"/>
  <c r="F38" i="14"/>
  <c r="F36" i="14"/>
  <c r="I25" i="28"/>
  <c r="I26" i="28"/>
  <c r="I24" i="28"/>
  <c r="I19" i="28" l="1"/>
  <c r="H20" i="20" l="1"/>
  <c r="I41" i="20" l="1"/>
  <c r="I40" i="20"/>
  <c r="H21" i="20"/>
  <c r="I42" i="20"/>
  <c r="H25" i="20"/>
  <c r="H22" i="20"/>
  <c r="I25" i="20"/>
  <c r="I43" i="20" l="1"/>
  <c r="M14" i="29" l="1"/>
  <c r="U14" i="29" s="1"/>
  <c r="M13" i="29"/>
  <c r="S13" i="29" s="1"/>
  <c r="M12" i="29"/>
  <c r="M11" i="29"/>
  <c r="U11" i="29" s="1"/>
  <c r="M10" i="29"/>
  <c r="U10" i="29" s="1"/>
  <c r="Q10" i="29" s="1"/>
  <c r="M9" i="29"/>
  <c r="S9" i="29" s="1"/>
  <c r="M8" i="29"/>
  <c r="M7" i="29"/>
  <c r="T7" i="29" s="1"/>
  <c r="M6" i="29"/>
  <c r="N6" i="29" s="1"/>
  <c r="M5" i="29"/>
  <c r="G20" i="20"/>
  <c r="D20" i="20"/>
  <c r="D24" i="20"/>
  <c r="O14" i="28"/>
  <c r="O13" i="28"/>
  <c r="L35" i="28"/>
  <c r="L34" i="28"/>
  <c r="L33" i="28"/>
  <c r="L32" i="28"/>
  <c r="L31" i="28"/>
  <c r="L30" i="28"/>
  <c r="L29" i="28"/>
  <c r="L28" i="28"/>
  <c r="L27" i="28"/>
  <c r="L26" i="28"/>
  <c r="L25" i="28"/>
  <c r="L24" i="28"/>
  <c r="L23" i="28"/>
  <c r="L22" i="28"/>
  <c r="L21" i="28"/>
  <c r="L20" i="28"/>
  <c r="L19" i="28"/>
  <c r="L18" i="28"/>
  <c r="L17" i="28"/>
  <c r="L16" i="28"/>
  <c r="L15" i="28"/>
  <c r="L14" i="28"/>
  <c r="L13" i="28"/>
  <c r="L12" i="28"/>
  <c r="L11" i="28"/>
  <c r="L10" i="28"/>
  <c r="L9" i="28"/>
  <c r="L8" i="28"/>
  <c r="L7" i="28"/>
  <c r="L6" i="28"/>
  <c r="L5" i="28"/>
  <c r="L4" i="28"/>
  <c r="D35" i="28"/>
  <c r="D34" i="28"/>
  <c r="D33" i="28"/>
  <c r="D32" i="28"/>
  <c r="D31" i="28"/>
  <c r="D30" i="28"/>
  <c r="D29" i="28"/>
  <c r="D28" i="28"/>
  <c r="D27" i="28"/>
  <c r="D26" i="28"/>
  <c r="D25" i="28"/>
  <c r="D24" i="28"/>
  <c r="D23" i="28"/>
  <c r="D22" i="28"/>
  <c r="D21" i="28"/>
  <c r="D20" i="28"/>
  <c r="D19" i="28"/>
  <c r="D18" i="28"/>
  <c r="D17" i="28"/>
  <c r="D16" i="28"/>
  <c r="D15" i="28"/>
  <c r="D14" i="28"/>
  <c r="D13" i="28"/>
  <c r="D12" i="28"/>
  <c r="D11" i="28"/>
  <c r="D10" i="28"/>
  <c r="D9" i="28"/>
  <c r="D8" i="28"/>
  <c r="D7" i="28"/>
  <c r="D6" i="28"/>
  <c r="D5" i="28"/>
  <c r="D4" i="28"/>
  <c r="M9" i="15"/>
  <c r="T38" i="27"/>
  <c r="S38" i="27"/>
  <c r="A35" i="27"/>
  <c r="A34" i="27"/>
  <c r="A33" i="27"/>
  <c r="A32" i="27"/>
  <c r="A31" i="27"/>
  <c r="A30" i="27"/>
  <c r="A29" i="27"/>
  <c r="A28" i="27"/>
  <c r="AC27" i="27"/>
  <c r="AB27" i="27"/>
  <c r="AA27" i="27"/>
  <c r="Z27" i="27"/>
  <c r="A27" i="27"/>
  <c r="AC26" i="27"/>
  <c r="AB26" i="27"/>
  <c r="AA26" i="27"/>
  <c r="P26" i="27"/>
  <c r="A26" i="27"/>
  <c r="AC25" i="27"/>
  <c r="AB25" i="27"/>
  <c r="Z25" i="27"/>
  <c r="R25" i="27"/>
  <c r="R26" i="27" s="1"/>
  <c r="R27" i="27" s="1"/>
  <c r="Q25" i="27"/>
  <c r="Q26" i="27" s="1"/>
  <c r="Q27" i="27" s="1"/>
  <c r="T25" i="27"/>
  <c r="A25" i="27"/>
  <c r="A24" i="27"/>
  <c r="A23" i="27"/>
  <c r="A22" i="27"/>
  <c r="A21" i="27"/>
  <c r="Z20" i="27"/>
  <c r="A20" i="27"/>
  <c r="AA19" i="27"/>
  <c r="A19" i="27"/>
  <c r="Z18" i="27"/>
  <c r="R18" i="27"/>
  <c r="R19" i="27" s="1"/>
  <c r="R20" i="27" s="1"/>
  <c r="Q18" i="27"/>
  <c r="Q19" i="27" s="1"/>
  <c r="Q20" i="27" s="1"/>
  <c r="P18" i="27"/>
  <c r="A18" i="27"/>
  <c r="A17" i="27"/>
  <c r="A16" i="27"/>
  <c r="A15" i="27"/>
  <c r="A14" i="27"/>
  <c r="Z13" i="27"/>
  <c r="P13" i="27"/>
  <c r="A13" i="27"/>
  <c r="AA12" i="27"/>
  <c r="A12" i="27"/>
  <c r="Z11" i="27"/>
  <c r="R11" i="27"/>
  <c r="R12" i="27" s="1"/>
  <c r="R13" i="27" s="1"/>
  <c r="Q11" i="27"/>
  <c r="Q12" i="27" s="1"/>
  <c r="Q13" i="27" s="1"/>
  <c r="T11" i="27"/>
  <c r="V11" i="27" s="1"/>
  <c r="A11" i="27"/>
  <c r="A10" i="27"/>
  <c r="A9" i="27"/>
  <c r="A8" i="27"/>
  <c r="A7" i="27"/>
  <c r="Z6" i="27"/>
  <c r="A6" i="27"/>
  <c r="AA5" i="27"/>
  <c r="AA29" i="27" s="1"/>
  <c r="R5" i="27"/>
  <c r="R6" i="27" s="1"/>
  <c r="K5" i="27"/>
  <c r="A5" i="27"/>
  <c r="Z4" i="27"/>
  <c r="Y4" i="27"/>
  <c r="Y5" i="27" s="1"/>
  <c r="Y6" i="27" s="1"/>
  <c r="Y11" i="27" s="1"/>
  <c r="Y12" i="27" s="1"/>
  <c r="Y13" i="27" s="1"/>
  <c r="Y18" i="27" s="1"/>
  <c r="Y19" i="27" s="1"/>
  <c r="Y20" i="27" s="1"/>
  <c r="Y25" i="27" s="1"/>
  <c r="Y26" i="27" s="1"/>
  <c r="Y27" i="27" s="1"/>
  <c r="R4" i="27"/>
  <c r="Q4" i="27"/>
  <c r="Q5" i="27" s="1"/>
  <c r="Q6" i="27" s="1"/>
  <c r="S4" i="27"/>
  <c r="U4" i="27" s="1"/>
  <c r="O5" i="27"/>
  <c r="A4" i="27"/>
  <c r="Q38" i="1"/>
  <c r="S12" i="29" l="1"/>
  <c r="V13" i="29"/>
  <c r="G22" i="20"/>
  <c r="Z29" i="27"/>
  <c r="V25" i="27"/>
  <c r="S8" i="29"/>
  <c r="N8" i="29"/>
  <c r="Z31" i="27"/>
  <c r="G25" i="20"/>
  <c r="T13" i="29"/>
  <c r="U13" i="29"/>
  <c r="T8" i="29"/>
  <c r="P8" i="29" s="1"/>
  <c r="U8" i="29"/>
  <c r="Q8" i="29" s="1"/>
  <c r="S11" i="29"/>
  <c r="V11" i="29" s="1"/>
  <c r="T11" i="29"/>
  <c r="U6" i="29"/>
  <c r="Q6" i="29" s="1"/>
  <c r="T6" i="29"/>
  <c r="P6" i="29" s="1"/>
  <c r="S6" i="29"/>
  <c r="T10" i="29"/>
  <c r="P10" i="29" s="1"/>
  <c r="N7" i="29"/>
  <c r="T12" i="29"/>
  <c r="S14" i="29"/>
  <c r="U12" i="29"/>
  <c r="T14" i="29"/>
  <c r="S7" i="29"/>
  <c r="U7" i="29"/>
  <c r="T9" i="29"/>
  <c r="V9" i="29" s="1"/>
  <c r="U9" i="29"/>
  <c r="S10" i="29"/>
  <c r="D25" i="20"/>
  <c r="T4" i="27"/>
  <c r="V4" i="27" s="1"/>
  <c r="W4" i="27" s="1"/>
  <c r="X4" i="27" s="1"/>
  <c r="S25" i="27"/>
  <c r="U25" i="27" s="1"/>
  <c r="O4" i="27"/>
  <c r="P5" i="27"/>
  <c r="P19" i="27"/>
  <c r="O19" i="27"/>
  <c r="T12" i="27"/>
  <c r="P12" i="27"/>
  <c r="AC12" i="27" s="1"/>
  <c r="O12" i="27"/>
  <c r="P27" i="27"/>
  <c r="U42" i="27" s="1"/>
  <c r="O27" i="27"/>
  <c r="S18" i="27"/>
  <c r="U18" i="27" s="1"/>
  <c r="T18" i="27"/>
  <c r="V18" i="27" s="1"/>
  <c r="T26" i="27"/>
  <c r="V26" i="27" s="1"/>
  <c r="O11" i="27"/>
  <c r="S5" i="27"/>
  <c r="O6" i="27"/>
  <c r="P11" i="27"/>
  <c r="O20" i="27"/>
  <c r="AB20" i="27" s="1"/>
  <c r="O25" i="27"/>
  <c r="P6" i="27"/>
  <c r="P20" i="27"/>
  <c r="P25" i="27"/>
  <c r="S11" i="27"/>
  <c r="U11" i="27" s="1"/>
  <c r="W11" i="27" s="1"/>
  <c r="P4" i="27"/>
  <c r="O18" i="27"/>
  <c r="O26" i="27"/>
  <c r="O13" i="27"/>
  <c r="O8" i="29" l="1"/>
  <c r="V8" i="29"/>
  <c r="V10" i="29"/>
  <c r="O10" i="29"/>
  <c r="V7" i="29"/>
  <c r="V6" i="29"/>
  <c r="O6" i="29"/>
  <c r="AA6" i="29" s="1"/>
  <c r="O12" i="29"/>
  <c r="V12" i="29"/>
  <c r="V14" i="29"/>
  <c r="U41" i="27"/>
  <c r="W25" i="27"/>
  <c r="AC5" i="27"/>
  <c r="AC29" i="27" s="1"/>
  <c r="AB18" i="27"/>
  <c r="AB29" i="27" s="1"/>
  <c r="N9" i="29"/>
  <c r="N10" i="29"/>
  <c r="S26" i="27"/>
  <c r="U26" i="27" s="1"/>
  <c r="W26" i="27" s="1"/>
  <c r="T5" i="27"/>
  <c r="V5" i="27" s="1"/>
  <c r="T27" i="27"/>
  <c r="V27" i="27" s="1"/>
  <c r="S12" i="27"/>
  <c r="W18" i="27"/>
  <c r="T13" i="27"/>
  <c r="V13" i="27" s="1"/>
  <c r="V12" i="27"/>
  <c r="S6" i="27"/>
  <c r="U5" i="27"/>
  <c r="S19" i="27"/>
  <c r="T19" i="27"/>
  <c r="AB6" i="29" l="1"/>
  <c r="N12" i="29"/>
  <c r="AB7" i="29" s="1"/>
  <c r="N11" i="29"/>
  <c r="S27" i="27"/>
  <c r="U27" i="27" s="1"/>
  <c r="W27" i="27" s="1"/>
  <c r="W5" i="27"/>
  <c r="X5" i="27" s="1"/>
  <c r="AB31" i="27"/>
  <c r="T6" i="27"/>
  <c r="V6" i="27" s="1"/>
  <c r="U6" i="27"/>
  <c r="U12" i="27"/>
  <c r="W12" i="27" s="1"/>
  <c r="S13" i="27"/>
  <c r="U13" i="27" s="1"/>
  <c r="W13" i="27" s="1"/>
  <c r="V19" i="27"/>
  <c r="T20" i="27"/>
  <c r="V20" i="27" s="1"/>
  <c r="S20" i="27"/>
  <c r="U20" i="27" s="1"/>
  <c r="U19" i="27"/>
  <c r="U39" i="27" l="1"/>
  <c r="N39" i="27"/>
  <c r="N38" i="27"/>
  <c r="U36" i="27" s="1"/>
  <c r="W6" i="27"/>
  <c r="X6" i="27" s="1"/>
  <c r="X11" i="27" s="1"/>
  <c r="X12" i="27" s="1"/>
  <c r="X13" i="27" s="1"/>
  <c r="X18" i="27" s="1"/>
  <c r="W19" i="27"/>
  <c r="W20" i="27"/>
  <c r="S37" i="27" s="1"/>
  <c r="N40" i="27" l="1"/>
  <c r="U40" i="27" s="1"/>
  <c r="X19" i="27"/>
  <c r="X20" i="27" s="1"/>
  <c r="N41" i="27" l="1"/>
  <c r="X25" i="27"/>
  <c r="X26" i="27" s="1"/>
  <c r="X27" i="27" s="1"/>
  <c r="T37" i="27" s="1"/>
  <c r="X21" i="27"/>
  <c r="L12" i="24"/>
  <c r="L11" i="24"/>
  <c r="N12" i="24" l="1"/>
  <c r="O12" i="24"/>
  <c r="O15" i="24"/>
  <c r="N11" i="24"/>
  <c r="N5" i="15"/>
  <c r="O11" i="24" l="1"/>
  <c r="N27" i="24"/>
  <c r="N28" i="24" s="1"/>
  <c r="N24" i="24"/>
  <c r="O16" i="24"/>
  <c r="R4" i="1"/>
  <c r="N25" i="24" l="1"/>
  <c r="N26" i="24" s="1"/>
  <c r="M6" i="1"/>
  <c r="N6" i="1"/>
  <c r="N4" i="1"/>
  <c r="M4" i="1"/>
  <c r="Q4" i="1"/>
  <c r="G38" i="18" l="1"/>
  <c r="A5" i="24" l="1"/>
  <c r="A6" i="24"/>
  <c r="A7" i="24"/>
  <c r="A8" i="24"/>
  <c r="A9" i="24"/>
  <c r="A4" i="24"/>
  <c r="L4" i="24" l="1"/>
  <c r="A29" i="24"/>
  <c r="A31" i="24"/>
  <c r="A11" i="24"/>
  <c r="A32" i="24"/>
  <c r="A33" i="24"/>
  <c r="A22" i="24"/>
  <c r="A34" i="24"/>
  <c r="A12" i="24"/>
  <c r="A35" i="24"/>
  <c r="A14" i="24"/>
  <c r="A24" i="24"/>
  <c r="A25" i="24"/>
  <c r="A13" i="24"/>
  <c r="A16" i="24"/>
  <c r="A26" i="24"/>
  <c r="A21" i="24"/>
  <c r="A15" i="24"/>
  <c r="A17" i="24"/>
  <c r="A18" i="24"/>
  <c r="A19" i="24"/>
  <c r="A27" i="24"/>
  <c r="A30" i="24"/>
  <c r="A23" i="24"/>
  <c r="A10" i="24"/>
  <c r="A20" i="24"/>
  <c r="A28" i="24"/>
  <c r="M10" i="15" l="1"/>
  <c r="N6" i="15"/>
  <c r="I5" i="1"/>
  <c r="L5" i="1" s="1"/>
  <c r="N5" i="1" s="1"/>
  <c r="P25" i="1"/>
  <c r="P26" i="1" s="1"/>
  <c r="P27" i="1" s="1"/>
  <c r="O25" i="1"/>
  <c r="O26" i="1" s="1"/>
  <c r="O27" i="1" s="1"/>
  <c r="P18" i="1"/>
  <c r="P19" i="1" s="1"/>
  <c r="P20" i="1" s="1"/>
  <c r="O18" i="1"/>
  <c r="O19" i="1" s="1"/>
  <c r="O20" i="1" s="1"/>
  <c r="P11" i="1"/>
  <c r="P12" i="1" s="1"/>
  <c r="P13" i="1" s="1"/>
  <c r="O11" i="1"/>
  <c r="O12" i="1" s="1"/>
  <c r="O13" i="1" s="1"/>
  <c r="O4" i="1"/>
  <c r="P4" i="1"/>
  <c r="S4" i="1" s="1"/>
  <c r="W4" i="1"/>
  <c r="W5" i="1" s="1"/>
  <c r="W6" i="1" s="1"/>
  <c r="L6" i="15" l="1"/>
  <c r="N18" i="1"/>
  <c r="M18" i="1"/>
  <c r="M19" i="1"/>
  <c r="N19" i="1"/>
  <c r="N20" i="1"/>
  <c r="M20" i="1"/>
  <c r="N13" i="1"/>
  <c r="M13" i="1"/>
  <c r="N11" i="1"/>
  <c r="M11" i="1"/>
  <c r="N12" i="1"/>
  <c r="M12" i="1"/>
  <c r="O5" i="1"/>
  <c r="O6" i="1" s="1"/>
  <c r="R18" i="1"/>
  <c r="T18" i="1" s="1"/>
  <c r="Q18" i="1"/>
  <c r="Q11" i="1"/>
  <c r="Q12" i="1" s="1"/>
  <c r="Q13" i="1" s="1"/>
  <c r="S13" i="1" s="1"/>
  <c r="R11" i="1"/>
  <c r="R12" i="1" s="1"/>
  <c r="R13" i="1" s="1"/>
  <c r="P5" i="1"/>
  <c r="P6" i="1" s="1"/>
  <c r="W11" i="1"/>
  <c r="W12" i="1" s="1"/>
  <c r="W13" i="1" s="1"/>
  <c r="W18" i="1" s="1"/>
  <c r="W19" i="1" s="1"/>
  <c r="W20" i="1" s="1"/>
  <c r="W25" i="1" s="1"/>
  <c r="W26" i="1" s="1"/>
  <c r="W27" i="1" s="1"/>
  <c r="S41" i="1" l="1"/>
  <c r="S42" i="1"/>
  <c r="Q19" i="1"/>
  <c r="Q20" i="1" s="1"/>
  <c r="R19" i="1"/>
  <c r="R20" i="1" s="1"/>
  <c r="T20" i="1" s="1"/>
  <c r="Q5" i="1"/>
  <c r="Q6" i="1" s="1"/>
  <c r="R5" i="1"/>
  <c r="R6" i="1" s="1"/>
  <c r="S39" i="1" s="1"/>
  <c r="M5" i="1"/>
  <c r="N27" i="1"/>
  <c r="M27" i="1"/>
  <c r="N25" i="1"/>
  <c r="M25" i="1"/>
  <c r="N26" i="1"/>
  <c r="M26" i="1"/>
  <c r="S18" i="1"/>
  <c r="U18" i="1" s="1"/>
  <c r="R25" i="1"/>
  <c r="R26" i="1" s="1"/>
  <c r="R27" i="1" s="1"/>
  <c r="Q25" i="1"/>
  <c r="Q26" i="1" s="1"/>
  <c r="S11" i="1"/>
  <c r="T11" i="1"/>
  <c r="T12" i="1"/>
  <c r="T4" i="1"/>
  <c r="L38" i="1" l="1"/>
  <c r="S36" i="1" s="1"/>
  <c r="L39" i="1"/>
  <c r="S19" i="1"/>
  <c r="T6" i="1"/>
  <c r="S5" i="1"/>
  <c r="T19" i="1"/>
  <c r="U4" i="1"/>
  <c r="V4" i="1" s="1"/>
  <c r="T25" i="1"/>
  <c r="U11" i="1"/>
  <c r="Q27" i="1"/>
  <c r="S26" i="1"/>
  <c r="T26" i="1"/>
  <c r="S25" i="1"/>
  <c r="S12" i="1"/>
  <c r="U12" i="1" s="1"/>
  <c r="S6" i="1"/>
  <c r="L40" i="1" l="1"/>
  <c r="S40" i="1" s="1"/>
  <c r="U19" i="1"/>
  <c r="U26" i="1"/>
  <c r="U25" i="1"/>
  <c r="T13" i="1"/>
  <c r="T27" i="1"/>
  <c r="S20" i="1"/>
  <c r="U20" i="1" s="1"/>
  <c r="S27" i="1"/>
  <c r="U13" i="1" l="1"/>
  <c r="U27" i="1"/>
  <c r="Q37" i="1" l="1"/>
  <c r="U6" i="1"/>
  <c r="T5" i="1"/>
  <c r="U5" i="1" s="1"/>
  <c r="V5" i="1" s="1"/>
  <c r="V6" i="1" l="1"/>
  <c r="V11" i="1" s="1"/>
  <c r="V12" i="1" s="1"/>
  <c r="V13" i="1" s="1"/>
  <c r="V18" i="1" s="1"/>
  <c r="V19" i="1" s="1"/>
  <c r="V20" i="1" l="1"/>
  <c r="V25" i="1" s="1"/>
  <c r="V26" i="1" s="1"/>
  <c r="V27" i="1" s="1"/>
  <c r="R37" i="1" s="1"/>
  <c r="Q12" i="29" l="1"/>
  <c r="P12" i="29"/>
  <c r="AA7" i="29" l="1"/>
  <c r="N13" i="29"/>
  <c r="N14" i="29" l="1"/>
  <c r="Q14" i="29"/>
  <c r="AA9" i="29" s="1"/>
  <c r="O14" i="29"/>
  <c r="AA8" i="29" s="1"/>
  <c r="P14" i="29"/>
  <c r="G42" i="32"/>
  <c r="G43" i="32" s="1"/>
  <c r="G44" i="32" s="1"/>
  <c r="AA10" i="29"/>
  <c r="N15" i="29"/>
  <c r="AB8" i="29" l="1"/>
  <c r="AB9" i="29"/>
</calcChain>
</file>

<file path=xl/sharedStrings.xml><?xml version="1.0" encoding="utf-8"?>
<sst xmlns="http://schemas.openxmlformats.org/spreadsheetml/2006/main" count="729" uniqueCount="254">
  <si>
    <t>Net</t>
  </si>
  <si>
    <t>NFL:ARI:LAC</t>
  </si>
  <si>
    <t>NFL:ATL:LAR</t>
  </si>
  <si>
    <t>NFL:BAL:MIA</t>
  </si>
  <si>
    <t>NFL:BUF:MIN</t>
  </si>
  <si>
    <t>NFL:CAR:NE</t>
  </si>
  <si>
    <t>NFL:CHI:NO</t>
  </si>
  <si>
    <t>NFL:CIN:NYG</t>
  </si>
  <si>
    <t>NFL:CLE:NYJ</t>
  </si>
  <si>
    <t>NFL:DAL:OAK</t>
  </si>
  <si>
    <t>NFL:DEN:PHI</t>
  </si>
  <si>
    <t>NFL:DET:PIT</t>
  </si>
  <si>
    <t>NFL:GB:SEA</t>
  </si>
  <si>
    <t>NFL:HOU:SF</t>
  </si>
  <si>
    <t>NFL:IND:TB</t>
  </si>
  <si>
    <t>NFL:JAX:TEN</t>
  </si>
  <si>
    <t>NFL:KC:WSH</t>
  </si>
  <si>
    <t>UFC:Holloway:Kattar</t>
  </si>
  <si>
    <t>UFC:Ponzinibbio:Li</t>
  </si>
  <si>
    <t>UFC:Kelleher:Simon</t>
  </si>
  <si>
    <t>UFC:Hernandez:Vieria</t>
  </si>
  <si>
    <t>UFC:Akhemedov:Breese</t>
  </si>
  <si>
    <t>NHL:Colorado:Washington</t>
  </si>
  <si>
    <t>NHL:Vegas:StLouis</t>
  </si>
  <si>
    <t>NHL:TampaBay:Dallas</t>
  </si>
  <si>
    <t>NHL:Boston:Carolina</t>
  </si>
  <si>
    <t>NHL:Philadelphia:Edmonton</t>
  </si>
  <si>
    <t>NHL:Pittsburgh:NYIslanders</t>
  </si>
  <si>
    <t>Odds</t>
  </si>
  <si>
    <t>Bet0</t>
  </si>
  <si>
    <t>Bet1</t>
  </si>
  <si>
    <t>Pay0</t>
  </si>
  <si>
    <t>Pay1</t>
  </si>
  <si>
    <t>Match</t>
  </si>
  <si>
    <t>HomeBet</t>
  </si>
  <si>
    <t>AwayBet</t>
  </si>
  <si>
    <t>HomeWin</t>
  </si>
  <si>
    <t>AwayWin</t>
  </si>
  <si>
    <t>MaxLiab</t>
  </si>
  <si>
    <t>Start</t>
  </si>
  <si>
    <t>-</t>
  </si>
  <si>
    <t>To Oracle</t>
  </si>
  <si>
    <t>account 0</t>
  </si>
  <si>
    <t>account 1</t>
  </si>
  <si>
    <t>account 2</t>
  </si>
  <si>
    <t>Test of Oracle Revenue Mechanism</t>
  </si>
  <si>
    <t>Pre Settle</t>
  </si>
  <si>
    <t>Post Settle</t>
  </si>
  <si>
    <t>pre-settle is the bookie funding minus the pledged amount, post settle reflects the net payout</t>
  </si>
  <si>
    <t>changed to</t>
  </si>
  <si>
    <t>Basic Test of Bet and margin processing, from time of bet to settlement</t>
  </si>
  <si>
    <t>Test that odds updates are processed correctly</t>
  </si>
  <si>
    <t>Test that Redemptions are correctly processed</t>
  </si>
  <si>
    <t>gas used</t>
  </si>
  <si>
    <t>2.5MM tokens</t>
  </si>
  <si>
    <t>1.5MM tokens</t>
  </si>
  <si>
    <t>Acct2</t>
  </si>
  <si>
    <t>confirm Oracle token holders who deposit in Oracle contract receive appropriate revenue</t>
  </si>
  <si>
    <t>withdrawals are proportional to tokens deposited</t>
  </si>
  <si>
    <t>Oracle receives the correct payment</t>
  </si>
  <si>
    <t>Oracle eth balance in betting contracct can transfer to Oracle contract</t>
  </si>
  <si>
    <t>Checks</t>
  </si>
  <si>
    <t>Tests that the Bookies are allocated Eth Investment Proceeds correctly</t>
  </si>
  <si>
    <t xml:space="preserve">Bookie eth withdrawals consistent with eth/share 'price' of shares </t>
  </si>
  <si>
    <t>Bookie eth investments generrates correct # shares given eth/share price of shares</t>
  </si>
  <si>
    <t>Data Cure Time prevents early posting of data</t>
  </si>
  <si>
    <t>Data cannot be sent while existing data is being curated</t>
  </si>
  <si>
    <t>Sends appropriate data after cure time (eg, initial data curated, no settlement data can be sent)</t>
  </si>
  <si>
    <t>Odds can be updated</t>
  </si>
  <si>
    <t>Data need a majority vote to send</t>
  </si>
  <si>
    <t>Rejected data imply cost to data proposer</t>
  </si>
  <si>
    <t>4.0MM tokens</t>
  </si>
  <si>
    <t>votes of yes and no, but majority yes</t>
  </si>
  <si>
    <t>votes of majority no</t>
  </si>
  <si>
    <t>initial data sent, focus on odds for match 1, 1000 (decimal 2.0)</t>
  </si>
  <si>
    <t>post and process new odds (2000)</t>
  </si>
  <si>
    <t>post and process new odds (3000)</t>
  </si>
  <si>
    <t>Results</t>
  </si>
  <si>
    <t>Winner</t>
  </si>
  <si>
    <t>tie</t>
  </si>
  <si>
    <t>tx cost</t>
  </si>
  <si>
    <t>OracleBalance</t>
  </si>
  <si>
    <t>zeroed out at settlement</t>
  </si>
  <si>
    <t>acct2</t>
  </si>
  <si>
    <t>acct3</t>
  </si>
  <si>
    <t>yes vots 55,000</t>
  </si>
  <si>
    <t>no votes 25,000</t>
  </si>
  <si>
    <t>Data Reporting</t>
  </si>
  <si>
    <t>Odds0</t>
  </si>
  <si>
    <t>Account0</t>
  </si>
  <si>
    <t>TotTokens</t>
  </si>
  <si>
    <t>LiqPool</t>
  </si>
  <si>
    <t>Epoch</t>
  </si>
  <si>
    <t>Payout</t>
  </si>
  <si>
    <t>OracleRev</t>
  </si>
  <si>
    <t>NBA:Memphis:Brooklyn</t>
  </si>
  <si>
    <t>NBA:Boston:Charlotte</t>
  </si>
  <si>
    <t>NBA:Milwaukee:Dallas</t>
  </si>
  <si>
    <t>NBA:miami:LALakers</t>
  </si>
  <si>
    <t>NBA:Atlanta:SanAntonia</t>
  </si>
  <si>
    <t>Acct 2 withdraws 1.0k tokens from oracle</t>
  </si>
  <si>
    <t>Acct 0 withdraws 2.0k tokens from oracle</t>
  </si>
  <si>
    <t>Acct 1 withdraws 1.5k tokens from oracle</t>
  </si>
  <si>
    <t>Acct 0 withdraws 0.5k tokens from oracle</t>
  </si>
  <si>
    <t>Acct 2 adds 1.0k tokens to oracle</t>
  </si>
  <si>
    <t>Acct 1 adds 1.5k tokens to oracle</t>
  </si>
  <si>
    <t>Acct 0 adds 2.5k tokens to oracle</t>
  </si>
  <si>
    <t>PerPeriod Oracle Revenue</t>
  </si>
  <si>
    <t>% Oracle Ownership</t>
  </si>
  <si>
    <t>BettorPool</t>
  </si>
  <si>
    <t>BookieLocked</t>
  </si>
  <si>
    <t>payoff</t>
  </si>
  <si>
    <t>bookiePool</t>
  </si>
  <si>
    <t>acct</t>
  </si>
  <si>
    <t>winner</t>
  </si>
  <si>
    <t>Winnings</t>
  </si>
  <si>
    <t>Total PayBack</t>
  </si>
  <si>
    <t>initial</t>
  </si>
  <si>
    <t>CumulativeGrossPayOut</t>
  </si>
  <si>
    <t>CumulativeBet</t>
  </si>
  <si>
    <t>BetKBalance</t>
  </si>
  <si>
    <t>Account1</t>
  </si>
  <si>
    <t>Account2</t>
  </si>
  <si>
    <t>account1</t>
  </si>
  <si>
    <t>account2</t>
  </si>
  <si>
    <t>BookieBalance</t>
  </si>
  <si>
    <t>account[2] funds 10000</t>
  </si>
  <si>
    <t>account[3] funds 10000</t>
  </si>
  <si>
    <t>bookie funds 30000</t>
  </si>
  <si>
    <t>bettorLocked</t>
  </si>
  <si>
    <t>ContractBalance</t>
  </si>
  <si>
    <t>bet 1000 on 7,0</t>
  </si>
  <si>
    <t>betData[7]</t>
  </si>
  <si>
    <t>bet0</t>
  </si>
  <si>
    <t>bet1</t>
  </si>
  <si>
    <t>payoff0</t>
  </si>
  <si>
    <t>payoff1</t>
  </si>
  <si>
    <t>odds0</t>
  </si>
  <si>
    <t>odds1</t>
  </si>
  <si>
    <t>startTime0</t>
  </si>
  <si>
    <t>bet 500 on 7,1</t>
  </si>
  <si>
    <t>update</t>
  </si>
  <si>
    <t>salmon numbers unaffected</t>
  </si>
  <si>
    <t>odds change (in blue) change per odds update</t>
  </si>
  <si>
    <t>account</t>
  </si>
  <si>
    <t>no votes 40,000</t>
  </si>
  <si>
    <t>yes vots 40,000</t>
  </si>
  <si>
    <t>bookieCapital</t>
  </si>
  <si>
    <t>ethinBettingK</t>
  </si>
  <si>
    <t>totShares</t>
  </si>
  <si>
    <t>acct0Shares</t>
  </si>
  <si>
    <t>acct1Shares</t>
  </si>
  <si>
    <t>eth/share</t>
  </si>
  <si>
    <t>acct3shares</t>
  </si>
  <si>
    <t>acct0eth</t>
  </si>
  <si>
    <t>acct1eth</t>
  </si>
  <si>
    <t>acct3eth</t>
  </si>
  <si>
    <t>Period</t>
  </si>
  <si>
    <t>TokensOut</t>
  </si>
  <si>
    <t>Total payoff to bettors</t>
  </si>
  <si>
    <t>Total outflow to Bettors</t>
  </si>
  <si>
    <t>Account3</t>
  </si>
  <si>
    <t>Post Settle&amp;Remption</t>
  </si>
  <si>
    <t>new odds not processed due to majority no vote (odds now 2000)</t>
  </si>
  <si>
    <t>1pre</t>
  </si>
  <si>
    <t>2pre</t>
  </si>
  <si>
    <t>3pre</t>
  </si>
  <si>
    <t>4pre</t>
  </si>
  <si>
    <t>5pre</t>
  </si>
  <si>
    <t>6exit</t>
  </si>
  <si>
    <t>Acct0</t>
  </si>
  <si>
    <t>Acct1</t>
  </si>
  <si>
    <t>Brute Force</t>
  </si>
  <si>
    <t>Contract Formula</t>
  </si>
  <si>
    <t>OracleFee</t>
  </si>
  <si>
    <t>Acct 0 adds  0.5k tokens from oracle</t>
  </si>
  <si>
    <t>Tokens</t>
  </si>
  <si>
    <t>margin[0]</t>
  </si>
  <si>
    <t>margin[1]</t>
  </si>
  <si>
    <t>margin[2]</t>
  </si>
  <si>
    <t>x10</t>
  </si>
  <si>
    <t>funder</t>
  </si>
  <si>
    <t>pick</t>
  </si>
  <si>
    <t>Bet</t>
  </si>
  <si>
    <t>Oracle Fee</t>
  </si>
  <si>
    <t>BettingK eth Balance</t>
  </si>
  <si>
    <t>gas price (gwei)</t>
  </si>
  <si>
    <t>initial Depo (finney/10)</t>
  </si>
  <si>
    <t>After Trading</t>
  </si>
  <si>
    <t>post-settle/post redeem</t>
  </si>
  <si>
    <t>Total Payout</t>
  </si>
  <si>
    <t>match</t>
  </si>
  <si>
    <t>bet</t>
  </si>
  <si>
    <t>odds</t>
  </si>
  <si>
    <t>DecOdds</t>
  </si>
  <si>
    <t>Bookie</t>
  </si>
  <si>
    <t>Fees</t>
  </si>
  <si>
    <t>Eth in Betting Contract</t>
  </si>
  <si>
    <t>Eth in Oracle Contract</t>
  </si>
  <si>
    <t>Post Settle/Redeem</t>
  </si>
  <si>
    <t>init Balance</t>
  </si>
  <si>
    <t>new odds not processed due to majority no vote (odds still 600)</t>
  </si>
  <si>
    <t>Account</t>
  </si>
  <si>
    <t>offer</t>
  </si>
  <si>
    <t>take</t>
  </si>
  <si>
    <t>Gross Payout</t>
  </si>
  <si>
    <t>Not Taken</t>
  </si>
  <si>
    <t>loser</t>
  </si>
  <si>
    <t>offer Big Bets</t>
  </si>
  <si>
    <t>Take Big Bets</t>
  </si>
  <si>
    <t>Change HourProcess to 12</t>
  </si>
  <si>
    <t>=</t>
  </si>
  <si>
    <t>0&amp;1</t>
  </si>
  <si>
    <t>under[1]</t>
  </si>
  <si>
    <t>fave[0]</t>
  </si>
  <si>
    <t>OracleKBalance</t>
  </si>
  <si>
    <t>CFL: Mich: OhioState</t>
  </si>
  <si>
    <t>CFL: Minn : Illinois</t>
  </si>
  <si>
    <t>CFL: MiamiU: Florida</t>
  </si>
  <si>
    <t>CFL: USC: UCLA</t>
  </si>
  <si>
    <t>CFL: Alabama: Auburn</t>
  </si>
  <si>
    <t>CFL: ArizonaSt: UofAriz</t>
  </si>
  <si>
    <t>CFL: PennState: Indiana</t>
  </si>
  <si>
    <t>CFL: Texas: TexasA&amp;M</t>
  </si>
  <si>
    <t>CFL: Utah: BYU</t>
  </si>
  <si>
    <t>CFL: Rutgers: VirgTech</t>
  </si>
  <si>
    <t>CFL: Georgia: Clemson</t>
  </si>
  <si>
    <t>post-settle/preredeem</t>
  </si>
  <si>
    <t>acct2 increase After WD</t>
  </si>
  <si>
    <t>Acct2BalInConract</t>
  </si>
  <si>
    <t>acct0Tokens</t>
  </si>
  <si>
    <t>acct1Tokens</t>
  </si>
  <si>
    <t>acct3Tokens</t>
  </si>
  <si>
    <t>account 2 fund 40k eth</t>
  </si>
  <si>
    <t>acct2 deposit</t>
  </si>
  <si>
    <t>account 0 w/d</t>
  </si>
  <si>
    <t xml:space="preserve">account 1 w/d </t>
  </si>
  <si>
    <t>all w/d</t>
  </si>
  <si>
    <t>account3 betting account</t>
  </si>
  <si>
    <t>Test9</t>
  </si>
  <si>
    <t>Test8-Finney</t>
  </si>
  <si>
    <t>Test10-Finney</t>
  </si>
  <si>
    <t>Test11-Finney</t>
  </si>
  <si>
    <t>Acct4</t>
  </si>
  <si>
    <t>Account4</t>
  </si>
  <si>
    <t>feeData[0]</t>
  </si>
  <si>
    <t>feeData[1]</t>
  </si>
  <si>
    <t>LP-Rewards</t>
  </si>
  <si>
    <t>LP</t>
  </si>
  <si>
    <t>2-6</t>
  </si>
  <si>
    <t>nofinal</t>
  </si>
  <si>
    <t>Acct2votes 50% of time</t>
  </si>
  <si>
    <t>acct0 deposits instead of withdraws</t>
  </si>
  <si>
    <t>Acct4 gets LP rewards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</si>
</sst>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5">
    <numFmt numFmtId="164" formatCode="0.00%;[Red]\-0.00%"/>
    <numFmt numFmtId="165" formatCode="#,##0;[Red]#,##0"/>
    <numFmt numFmtId="166" formatCode="#,##0.0;[Red]#,##0.0"/>
    <numFmt numFmtId="167" formatCode="#,##0.00;[Red]#,##0.00"/>
    <numFmt numFmtId="168" formatCode="##0.00;[Red]\-##0.00"/>
    <numFmt numFmtId="169" formatCode="0.000"/>
    <numFmt numFmtId="170" formatCode="#,##0.000;[Red]#,##0.000"/>
    <numFmt numFmtId="171" formatCode="#,##0.0000;[Red]#,##0.0000"/>
    <numFmt numFmtId="172" formatCode="#,##0.000000;[Red]#,##0.000000"/>
    <numFmt numFmtId="173" formatCode="0%;[Red]\-0%"/>
    <numFmt numFmtId="174" formatCode="0.000000"/>
    <numFmt numFmtId="175" formatCode="#0.00;[Red]#0.00"/>
    <numFmt numFmtId="176" formatCode="#0.000;[Red]#0.000"/>
    <numFmt numFmtId="177" formatCode="0.0E+00;"/>
    <numFmt numFmtId="178" formatCode="0.00_);[Red]\(0.00\)"/>
    <numFmt numFmtId="179" formatCode="###0;[Red]###0"/>
    <numFmt numFmtId="180" formatCode="#,##0.00000;[Red]#,##0.00000"/>
    <numFmt numFmtId="181" formatCode="0.0%;[Red]\-0.0%"/>
    <numFmt numFmtId="182" formatCode="0.0000"/>
    <numFmt numFmtId="183" formatCode="0E+00;[Red]0E+00"/>
    <numFmt numFmtId="184" formatCode="0.000E+00;[Red]0.000E+00"/>
    <numFmt numFmtId="185" formatCode="0.00000"/>
    <numFmt numFmtId="186" formatCode="###0.0000;[Red]###0.0000"/>
    <numFmt numFmtId="187" formatCode="###0.00000;[Red]###0.00000"/>
    <numFmt numFmtId="188" formatCode="###0.000000;[Red]###0.000000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color rgb="FF000000"/>
      <name val="Arial"/>
      <family val="2"/>
    </font>
    <font>
      <sz val="11"/>
      <color rgb="FF9C0006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8"/>
      <color rgb="FF959BAD"/>
      <name val="Segoe UI"/>
      <family val="2"/>
    </font>
    <font>
      <b/>
      <sz val="11"/>
      <color rgb="FF9C0006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1"/>
      <color rgb="FFCE9178"/>
      <name val="Consolas"/>
      <family val="3"/>
    </font>
    <font>
      <sz val="8"/>
      <color rgb="FF959BAD"/>
      <name val="Segoe UI"/>
      <family val="2"/>
    </font>
    <font>
      <sz val="11"/>
      <name val="Calibri"/>
      <family val="2"/>
      <scheme val="minor"/>
    </font>
    <font>
      <sz val="11"/>
      <color rgb="FF9C5700"/>
      <name val="Calibri"/>
      <family val="2"/>
      <scheme val="minor"/>
    </font>
    <font>
      <sz val="12"/>
      <color theme="1"/>
      <name val="Times New Roman"/>
      <family val="1"/>
    </font>
    <font>
      <sz val="11"/>
      <color rgb="FFCCCCCC"/>
      <name val="Consolas"/>
      <family val="3"/>
    </font>
  </fonts>
  <fills count="13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C6EFCE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EB9C"/>
      </patternFill>
    </fill>
    <fill>
      <patternFill patternType="solid">
        <fgColor theme="2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2" fillId="0" borderId="0"/>
    <xf numFmtId="0" fontId="4" fillId="2" borderId="0" applyNumberFormat="0" applyBorder="0" applyAlignment="0" applyProtection="0"/>
    <xf numFmtId="0" fontId="5" fillId="3" borderId="0" applyNumberFormat="0" applyBorder="0" applyAlignment="0" applyProtection="0"/>
    <xf numFmtId="0" fontId="12" fillId="11" borderId="0" applyNumberFormat="0" applyBorder="0" applyAlignment="0" applyProtection="0"/>
  </cellStyleXfs>
  <cellXfs count="193">
    <xf numFmtId="0" fontId="0" fillId="0" borderId="0" xfId="0"/>
    <xf numFmtId="0" fontId="1" fillId="0" borderId="0" xfId="0" applyFont="1"/>
    <xf numFmtId="0" fontId="1" fillId="0" borderId="0" xfId="0" applyFont="1" applyAlignment="1">
      <alignment horizontal="right"/>
    </xf>
    <xf numFmtId="167" fontId="1" fillId="0" borderId="0" xfId="0" applyNumberFormat="1" applyFont="1"/>
    <xf numFmtId="165" fontId="1" fillId="0" borderId="0" xfId="0" applyNumberFormat="1" applyFont="1"/>
    <xf numFmtId="0" fontId="3" fillId="0" borderId="0" xfId="0" applyFont="1"/>
    <xf numFmtId="168" fontId="1" fillId="0" borderId="0" xfId="0" applyNumberFormat="1" applyFont="1"/>
    <xf numFmtId="168" fontId="1" fillId="0" borderId="0" xfId="0" applyNumberFormat="1" applyFont="1" applyAlignment="1">
      <alignment horizontal="right"/>
    </xf>
    <xf numFmtId="166" fontId="1" fillId="0" borderId="0" xfId="0" applyNumberFormat="1" applyFont="1"/>
    <xf numFmtId="164" fontId="1" fillId="0" borderId="0" xfId="0" applyNumberFormat="1" applyFont="1" applyAlignment="1">
      <alignment horizontal="right"/>
    </xf>
    <xf numFmtId="2" fontId="1" fillId="0" borderId="0" xfId="0" applyNumberFormat="1" applyFont="1" applyAlignment="1">
      <alignment horizontal="right"/>
    </xf>
    <xf numFmtId="169" fontId="0" fillId="0" borderId="0" xfId="0" applyNumberFormat="1"/>
    <xf numFmtId="0" fontId="0" fillId="0" borderId="0" xfId="0" applyAlignment="1">
      <alignment horizontal="right"/>
    </xf>
    <xf numFmtId="0" fontId="1" fillId="0" borderId="0" xfId="0" applyFont="1" applyAlignment="1">
      <alignment horizontal="left"/>
    </xf>
    <xf numFmtId="0" fontId="1" fillId="0" borderId="0" xfId="0" quotePrefix="1" applyFont="1" applyAlignment="1">
      <alignment horizontal="right"/>
    </xf>
    <xf numFmtId="167" fontId="0" fillId="0" borderId="0" xfId="0" applyNumberFormat="1"/>
    <xf numFmtId="168" fontId="0" fillId="0" borderId="0" xfId="0" applyNumberFormat="1"/>
    <xf numFmtId="171" fontId="1" fillId="0" borderId="0" xfId="0" applyNumberFormat="1" applyFont="1"/>
    <xf numFmtId="172" fontId="1" fillId="0" borderId="0" xfId="0" applyNumberFormat="1" applyFont="1"/>
    <xf numFmtId="171" fontId="0" fillId="0" borderId="0" xfId="0" applyNumberFormat="1"/>
    <xf numFmtId="0" fontId="5" fillId="0" borderId="0" xfId="3" applyFill="1"/>
    <xf numFmtId="173" fontId="1" fillId="0" borderId="0" xfId="0" applyNumberFormat="1" applyFont="1"/>
    <xf numFmtId="0" fontId="4" fillId="0" borderId="0" xfId="2" applyFill="1"/>
    <xf numFmtId="174" fontId="0" fillId="0" borderId="0" xfId="0" applyNumberFormat="1"/>
    <xf numFmtId="0" fontId="0" fillId="4" borderId="0" xfId="0" applyFill="1"/>
    <xf numFmtId="0" fontId="5" fillId="4" borderId="0" xfId="3" applyFill="1"/>
    <xf numFmtId="165" fontId="0" fillId="0" borderId="0" xfId="0" applyNumberFormat="1"/>
    <xf numFmtId="175" fontId="1" fillId="0" borderId="0" xfId="0" applyNumberFormat="1" applyFont="1"/>
    <xf numFmtId="176" fontId="1" fillId="0" borderId="0" xfId="0" applyNumberFormat="1" applyFont="1"/>
    <xf numFmtId="177" fontId="1" fillId="0" borderId="0" xfId="0" applyNumberFormat="1" applyFont="1"/>
    <xf numFmtId="177" fontId="6" fillId="0" borderId="0" xfId="0" applyNumberFormat="1" applyFont="1"/>
    <xf numFmtId="0" fontId="0" fillId="0" borderId="1" xfId="0" applyBorder="1"/>
    <xf numFmtId="0" fontId="0" fillId="0" borderId="2" xfId="0" applyBorder="1"/>
    <xf numFmtId="0" fontId="1" fillId="0" borderId="3" xfId="0" applyFont="1" applyBorder="1" applyAlignment="1">
      <alignment horizontal="right"/>
    </xf>
    <xf numFmtId="0" fontId="1" fillId="0" borderId="4" xfId="0" applyFont="1" applyBorder="1" applyAlignment="1">
      <alignment horizontal="right"/>
    </xf>
    <xf numFmtId="0" fontId="0" fillId="0" borderId="3" xfId="0" applyBorder="1"/>
    <xf numFmtId="0" fontId="0" fillId="0" borderId="4" xfId="0" applyBorder="1"/>
    <xf numFmtId="0" fontId="5" fillId="3" borderId="4" xfId="3" applyBorder="1"/>
    <xf numFmtId="0" fontId="5" fillId="3" borderId="3" xfId="3" applyBorder="1"/>
    <xf numFmtId="0" fontId="0" fillId="0" borderId="5" xfId="0" applyBorder="1"/>
    <xf numFmtId="0" fontId="5" fillId="3" borderId="6" xfId="3" applyBorder="1"/>
    <xf numFmtId="0" fontId="0" fillId="0" borderId="6" xfId="0" applyBorder="1"/>
    <xf numFmtId="165" fontId="4" fillId="2" borderId="7" xfId="2" applyNumberFormat="1" applyBorder="1"/>
    <xf numFmtId="165" fontId="4" fillId="2" borderId="0" xfId="2" applyNumberFormat="1" applyBorder="1"/>
    <xf numFmtId="179" fontId="1" fillId="0" borderId="0" xfId="0" applyNumberFormat="1" applyFont="1"/>
    <xf numFmtId="179" fontId="1" fillId="0" borderId="0" xfId="0" applyNumberFormat="1" applyFont="1" applyAlignment="1">
      <alignment horizontal="right"/>
    </xf>
    <xf numFmtId="178" fontId="0" fillId="0" borderId="0" xfId="0" applyNumberFormat="1"/>
    <xf numFmtId="165" fontId="1" fillId="0" borderId="0" xfId="0" applyNumberFormat="1" applyFont="1" applyAlignment="1">
      <alignment horizontal="right"/>
    </xf>
    <xf numFmtId="0" fontId="0" fillId="0" borderId="0" xfId="0" applyAlignment="1">
      <alignment horizontal="left"/>
    </xf>
    <xf numFmtId="170" fontId="1" fillId="0" borderId="0" xfId="0" applyNumberFormat="1" applyFont="1"/>
    <xf numFmtId="170" fontId="0" fillId="0" borderId="0" xfId="0" applyNumberFormat="1"/>
    <xf numFmtId="0" fontId="0" fillId="5" borderId="0" xfId="0" applyFill="1"/>
    <xf numFmtId="0" fontId="0" fillId="6" borderId="0" xfId="0" applyFill="1"/>
    <xf numFmtId="170" fontId="1" fillId="0" borderId="0" xfId="0" applyNumberFormat="1" applyFont="1" applyAlignment="1">
      <alignment horizontal="right"/>
    </xf>
    <xf numFmtId="180" fontId="0" fillId="0" borderId="0" xfId="0" applyNumberFormat="1"/>
    <xf numFmtId="165" fontId="1" fillId="0" borderId="7" xfId="0" applyNumberFormat="1" applyFont="1" applyBorder="1"/>
    <xf numFmtId="165" fontId="1" fillId="0" borderId="2" xfId="0" applyNumberFormat="1" applyFont="1" applyBorder="1"/>
    <xf numFmtId="165" fontId="1" fillId="0" borderId="4" xfId="0" applyNumberFormat="1" applyFont="1" applyBorder="1"/>
    <xf numFmtId="165" fontId="1" fillId="0" borderId="8" xfId="0" applyNumberFormat="1" applyFont="1" applyBorder="1"/>
    <xf numFmtId="180" fontId="1" fillId="0" borderId="0" xfId="0" applyNumberFormat="1" applyFont="1"/>
    <xf numFmtId="11" fontId="0" fillId="0" borderId="0" xfId="0" applyNumberFormat="1"/>
    <xf numFmtId="166" fontId="8" fillId="0" borderId="0" xfId="3" applyNumberFormat="1" applyFont="1" applyFill="1"/>
    <xf numFmtId="0" fontId="1" fillId="0" borderId="1" xfId="0" applyFont="1" applyBorder="1" applyAlignment="1">
      <alignment horizontal="right"/>
    </xf>
    <xf numFmtId="165" fontId="8" fillId="3" borderId="7" xfId="3" applyNumberFormat="1" applyFont="1" applyBorder="1"/>
    <xf numFmtId="167" fontId="1" fillId="0" borderId="2" xfId="0" applyNumberFormat="1" applyFont="1" applyBorder="1"/>
    <xf numFmtId="0" fontId="1" fillId="0" borderId="5" xfId="0" applyFont="1" applyBorder="1" applyAlignment="1">
      <alignment horizontal="right"/>
    </xf>
    <xf numFmtId="165" fontId="8" fillId="3" borderId="8" xfId="3" applyNumberFormat="1" applyFont="1" applyBorder="1"/>
    <xf numFmtId="167" fontId="1" fillId="0" borderId="6" xfId="0" applyNumberFormat="1" applyFont="1" applyBorder="1"/>
    <xf numFmtId="0" fontId="0" fillId="0" borderId="7" xfId="0" applyBorder="1"/>
    <xf numFmtId="167" fontId="1" fillId="0" borderId="5" xfId="0" applyNumberFormat="1" applyFont="1" applyBorder="1"/>
    <xf numFmtId="167" fontId="1" fillId="0" borderId="8" xfId="0" applyNumberFormat="1" applyFont="1" applyBorder="1"/>
    <xf numFmtId="167" fontId="1" fillId="0" borderId="1" xfId="0" applyNumberFormat="1" applyFont="1" applyBorder="1"/>
    <xf numFmtId="167" fontId="1" fillId="0" borderId="7" xfId="0" applyNumberFormat="1" applyFont="1" applyBorder="1"/>
    <xf numFmtId="167" fontId="1" fillId="8" borderId="0" xfId="0" applyNumberFormat="1" applyFont="1" applyFill="1"/>
    <xf numFmtId="170" fontId="1" fillId="0" borderId="6" xfId="0" applyNumberFormat="1" applyFont="1" applyBorder="1"/>
    <xf numFmtId="170" fontId="1" fillId="9" borderId="0" xfId="0" applyNumberFormat="1" applyFont="1" applyFill="1"/>
    <xf numFmtId="181" fontId="1" fillId="0" borderId="0" xfId="0" applyNumberFormat="1" applyFont="1"/>
    <xf numFmtId="0" fontId="9" fillId="0" borderId="0" xfId="0" applyFont="1" applyAlignment="1">
      <alignment vertical="center"/>
    </xf>
    <xf numFmtId="0" fontId="10" fillId="0" borderId="0" xfId="0" applyFont="1"/>
    <xf numFmtId="165" fontId="11" fillId="0" borderId="1" xfId="2" applyNumberFormat="1" applyFont="1" applyFill="1" applyBorder="1"/>
    <xf numFmtId="1" fontId="11" fillId="0" borderId="3" xfId="2" applyNumberFormat="1" applyFont="1" applyFill="1" applyBorder="1"/>
    <xf numFmtId="165" fontId="11" fillId="0" borderId="3" xfId="2" applyNumberFormat="1" applyFont="1" applyFill="1" applyBorder="1"/>
    <xf numFmtId="0" fontId="11" fillId="0" borderId="5" xfId="2" applyFont="1" applyFill="1" applyBorder="1"/>
    <xf numFmtId="0" fontId="0" fillId="0" borderId="7" xfId="0" applyBorder="1" applyAlignment="1">
      <alignment horizontal="right"/>
    </xf>
    <xf numFmtId="0" fontId="0" fillId="0" borderId="8" xfId="0" applyBorder="1" applyAlignment="1">
      <alignment horizontal="right"/>
    </xf>
    <xf numFmtId="166" fontId="1" fillId="0" borderId="6" xfId="0" applyNumberFormat="1" applyFont="1" applyBorder="1"/>
    <xf numFmtId="165" fontId="1" fillId="10" borderId="1" xfId="0" applyNumberFormat="1" applyFont="1" applyFill="1" applyBorder="1"/>
    <xf numFmtId="165" fontId="1" fillId="10" borderId="3" xfId="0" applyNumberFormat="1" applyFont="1" applyFill="1" applyBorder="1"/>
    <xf numFmtId="0" fontId="0" fillId="10" borderId="3" xfId="0" applyFill="1" applyBorder="1"/>
    <xf numFmtId="165" fontId="1" fillId="10" borderId="5" xfId="0" applyNumberFormat="1" applyFont="1" applyFill="1" applyBorder="1"/>
    <xf numFmtId="165" fontId="4" fillId="0" borderId="7" xfId="2" applyNumberFormat="1" applyFill="1" applyBorder="1"/>
    <xf numFmtId="165" fontId="4" fillId="0" borderId="2" xfId="2" applyNumberFormat="1" applyFill="1" applyBorder="1"/>
    <xf numFmtId="170" fontId="1" fillId="0" borderId="8" xfId="0" applyNumberFormat="1" applyFont="1" applyBorder="1"/>
    <xf numFmtId="0" fontId="0" fillId="9" borderId="0" xfId="0" applyFill="1"/>
    <xf numFmtId="2" fontId="0" fillId="0" borderId="0" xfId="0" applyNumberFormat="1"/>
    <xf numFmtId="166" fontId="0" fillId="0" borderId="0" xfId="0" applyNumberFormat="1"/>
    <xf numFmtId="165" fontId="12" fillId="11" borderId="0" xfId="4" applyNumberFormat="1" applyBorder="1"/>
    <xf numFmtId="0" fontId="12" fillId="11" borderId="8" xfId="4" applyBorder="1"/>
    <xf numFmtId="165" fontId="12" fillId="11" borderId="3" xfId="4" applyNumberFormat="1" applyBorder="1"/>
    <xf numFmtId="0" fontId="12" fillId="11" borderId="5" xfId="4" applyBorder="1"/>
    <xf numFmtId="182" fontId="0" fillId="0" borderId="3" xfId="0" applyNumberFormat="1" applyBorder="1"/>
    <xf numFmtId="0" fontId="13" fillId="0" borderId="0" xfId="0" applyFont="1" applyAlignment="1">
      <alignment vertical="center"/>
    </xf>
    <xf numFmtId="183" fontId="1" fillId="0" borderId="0" xfId="0" applyNumberFormat="1" applyFont="1"/>
    <xf numFmtId="165" fontId="1" fillId="9" borderId="0" xfId="0" applyNumberFormat="1" applyFont="1" applyFill="1"/>
    <xf numFmtId="0" fontId="1" fillId="0" borderId="1" xfId="0" applyFont="1" applyBorder="1"/>
    <xf numFmtId="165" fontId="1" fillId="9" borderId="7" xfId="0" applyNumberFormat="1" applyFont="1" applyFill="1" applyBorder="1"/>
    <xf numFmtId="0" fontId="1" fillId="0" borderId="5" xfId="0" applyFont="1" applyBorder="1"/>
    <xf numFmtId="0" fontId="0" fillId="0" borderId="8" xfId="0" applyBorder="1"/>
    <xf numFmtId="0" fontId="1" fillId="0" borderId="8" xfId="0" applyFont="1" applyBorder="1"/>
    <xf numFmtId="166" fontId="1" fillId="0" borderId="7" xfId="0" applyNumberFormat="1" applyFont="1" applyBorder="1"/>
    <xf numFmtId="0" fontId="1" fillId="0" borderId="3" xfId="0" applyFont="1" applyBorder="1"/>
    <xf numFmtId="165" fontId="0" fillId="0" borderId="8" xfId="0" applyNumberFormat="1" applyBorder="1"/>
    <xf numFmtId="170" fontId="1" fillId="9" borderId="11" xfId="0" applyNumberFormat="1" applyFont="1" applyFill="1" applyBorder="1"/>
    <xf numFmtId="183" fontId="0" fillId="0" borderId="0" xfId="0" applyNumberFormat="1"/>
    <xf numFmtId="184" fontId="1" fillId="0" borderId="0" xfId="0" applyNumberFormat="1" applyFont="1"/>
    <xf numFmtId="0" fontId="0" fillId="0" borderId="0" xfId="0" quotePrefix="1"/>
    <xf numFmtId="167" fontId="1" fillId="0" borderId="0" xfId="0" applyNumberFormat="1" applyFont="1" applyAlignment="1">
      <alignment horizontal="right"/>
    </xf>
    <xf numFmtId="165" fontId="1" fillId="9" borderId="9" xfId="0" applyNumberFormat="1" applyFont="1" applyFill="1" applyBorder="1"/>
    <xf numFmtId="165" fontId="1" fillId="9" borderId="11" xfId="0" applyNumberFormat="1" applyFont="1" applyFill="1" applyBorder="1"/>
    <xf numFmtId="167" fontId="1" fillId="9" borderId="10" xfId="0" applyNumberFormat="1" applyFont="1" applyFill="1" applyBorder="1"/>
    <xf numFmtId="165" fontId="1" fillId="12" borderId="11" xfId="0" applyNumberFormat="1" applyFont="1" applyFill="1" applyBorder="1"/>
    <xf numFmtId="169" fontId="1" fillId="0" borderId="0" xfId="0" applyNumberFormat="1" applyFont="1"/>
    <xf numFmtId="0" fontId="1" fillId="9" borderId="0" xfId="0" applyFont="1" applyFill="1"/>
    <xf numFmtId="172" fontId="0" fillId="0" borderId="0" xfId="0" applyNumberFormat="1"/>
    <xf numFmtId="171" fontId="4" fillId="2" borderId="2" xfId="2" applyNumberFormat="1" applyBorder="1"/>
    <xf numFmtId="182" fontId="0" fillId="0" borderId="0" xfId="0" applyNumberFormat="1"/>
    <xf numFmtId="171" fontId="4" fillId="2" borderId="4" xfId="2" applyNumberFormat="1" applyBorder="1"/>
    <xf numFmtId="171" fontId="12" fillId="11" borderId="4" xfId="4" applyNumberFormat="1" applyBorder="1"/>
    <xf numFmtId="171" fontId="12" fillId="11" borderId="6" xfId="4" applyNumberFormat="1" applyBorder="1"/>
    <xf numFmtId="171" fontId="7" fillId="10" borderId="2" xfId="2" applyNumberFormat="1" applyFont="1" applyFill="1" applyBorder="1"/>
    <xf numFmtId="171" fontId="7" fillId="10" borderId="4" xfId="2" applyNumberFormat="1" applyFont="1" applyFill="1" applyBorder="1"/>
    <xf numFmtId="171" fontId="0" fillId="10" borderId="4" xfId="0" applyNumberFormat="1" applyFill="1" applyBorder="1"/>
    <xf numFmtId="171" fontId="7" fillId="10" borderId="6" xfId="2" applyNumberFormat="1" applyFont="1" applyFill="1" applyBorder="1"/>
    <xf numFmtId="172" fontId="4" fillId="10" borderId="4" xfId="2" applyNumberFormat="1" applyFill="1" applyBorder="1"/>
    <xf numFmtId="186" fontId="1" fillId="0" borderId="0" xfId="0" applyNumberFormat="1" applyFont="1"/>
    <xf numFmtId="187" fontId="1" fillId="0" borderId="0" xfId="0" applyNumberFormat="1" applyFont="1"/>
    <xf numFmtId="188" fontId="1" fillId="0" borderId="0" xfId="0" applyNumberFormat="1" applyFont="1"/>
    <xf numFmtId="169" fontId="5" fillId="3" borderId="0" xfId="3" applyNumberFormat="1"/>
    <xf numFmtId="185" fontId="5" fillId="3" borderId="0" xfId="3" applyNumberFormat="1"/>
    <xf numFmtId="11" fontId="14" fillId="0" borderId="0" xfId="0" applyNumberFormat="1" applyFont="1" applyAlignment="1">
      <alignment vertical="center"/>
    </xf>
    <xf numFmtId="164" fontId="1" fillId="0" borderId="0" xfId="0" applyNumberFormat="1" applyFont="1"/>
    <xf numFmtId="0" fontId="9" fillId="0" borderId="5" xfId="0" applyFont="1" applyBorder="1" applyAlignment="1">
      <alignment vertical="center"/>
    </xf>
    <xf numFmtId="165" fontId="1" fillId="9" borderId="10" xfId="0" applyNumberFormat="1" applyFont="1" applyFill="1" applyBorder="1"/>
    <xf numFmtId="0" fontId="0" fillId="0" borderId="12" xfId="0" applyBorder="1"/>
    <xf numFmtId="165" fontId="1" fillId="0" borderId="13" xfId="0" applyNumberFormat="1" applyFont="1" applyBorder="1"/>
    <xf numFmtId="165" fontId="1" fillId="0" borderId="14" xfId="0" applyNumberFormat="1" applyFont="1" applyBorder="1"/>
    <xf numFmtId="165" fontId="1" fillId="9" borderId="13" xfId="0" applyNumberFormat="1" applyFont="1" applyFill="1" applyBorder="1"/>
    <xf numFmtId="184" fontId="1" fillId="0" borderId="8" xfId="0" applyNumberFormat="1" applyFont="1" applyBorder="1"/>
    <xf numFmtId="11" fontId="1" fillId="0" borderId="0" xfId="0" applyNumberFormat="1" applyFont="1"/>
    <xf numFmtId="171" fontId="1" fillId="7" borderId="0" xfId="0" applyNumberFormat="1" applyFont="1" applyFill="1"/>
    <xf numFmtId="180" fontId="1" fillId="7" borderId="0" xfId="0" applyNumberFormat="1" applyFont="1" applyFill="1"/>
    <xf numFmtId="167" fontId="0" fillId="9" borderId="0" xfId="0" applyNumberFormat="1" applyFill="1"/>
    <xf numFmtId="166" fontId="1" fillId="9" borderId="0" xfId="0" applyNumberFormat="1" applyFont="1" applyFill="1"/>
    <xf numFmtId="173" fontId="0" fillId="0" borderId="0" xfId="0" applyNumberFormat="1"/>
    <xf numFmtId="180" fontId="1" fillId="0" borderId="6" xfId="0" applyNumberFormat="1" applyFont="1" applyBorder="1"/>
    <xf numFmtId="180" fontId="1" fillId="0" borderId="2" xfId="0" applyNumberFormat="1" applyFont="1" applyBorder="1"/>
    <xf numFmtId="184" fontId="1" fillId="0" borderId="2" xfId="0" applyNumberFormat="1" applyFont="1" applyBorder="1"/>
    <xf numFmtId="184" fontId="1" fillId="0" borderId="6" xfId="0" applyNumberFormat="1" applyFont="1" applyBorder="1"/>
    <xf numFmtId="165" fontId="1" fillId="9" borderId="8" xfId="0" applyNumberFormat="1" applyFont="1" applyFill="1" applyBorder="1"/>
    <xf numFmtId="184" fontId="1" fillId="9" borderId="6" xfId="0" applyNumberFormat="1" applyFont="1" applyFill="1" applyBorder="1"/>
    <xf numFmtId="167" fontId="1" fillId="9" borderId="5" xfId="0" applyNumberFormat="1" applyFont="1" applyFill="1" applyBorder="1"/>
    <xf numFmtId="167" fontId="1" fillId="9" borderId="8" xfId="0" applyNumberFormat="1" applyFont="1" applyFill="1" applyBorder="1"/>
    <xf numFmtId="167" fontId="1" fillId="9" borderId="6" xfId="0" applyNumberFormat="1" applyFont="1" applyFill="1" applyBorder="1"/>
    <xf numFmtId="180" fontId="1" fillId="9" borderId="6" xfId="0" applyNumberFormat="1" applyFont="1" applyFill="1" applyBorder="1"/>
    <xf numFmtId="184" fontId="1" fillId="9" borderId="2" xfId="0" applyNumberFormat="1" applyFont="1" applyFill="1" applyBorder="1"/>
    <xf numFmtId="167" fontId="1" fillId="9" borderId="1" xfId="0" applyNumberFormat="1" applyFont="1" applyFill="1" applyBorder="1"/>
    <xf numFmtId="167" fontId="1" fillId="9" borderId="7" xfId="0" applyNumberFormat="1" applyFont="1" applyFill="1" applyBorder="1"/>
    <xf numFmtId="167" fontId="1" fillId="9" borderId="2" xfId="0" applyNumberFormat="1" applyFont="1" applyFill="1" applyBorder="1"/>
    <xf numFmtId="180" fontId="1" fillId="9" borderId="2" xfId="0" applyNumberFormat="1" applyFont="1" applyFill="1" applyBorder="1"/>
    <xf numFmtId="165" fontId="4" fillId="2" borderId="8" xfId="2" applyNumberFormat="1" applyBorder="1"/>
    <xf numFmtId="184" fontId="4" fillId="2" borderId="6" xfId="2" applyNumberFormat="1" applyBorder="1"/>
    <xf numFmtId="167" fontId="4" fillId="2" borderId="5" xfId="2" applyNumberFormat="1" applyBorder="1"/>
    <xf numFmtId="167" fontId="4" fillId="2" borderId="8" xfId="2" applyNumberFormat="1" applyBorder="1"/>
    <xf numFmtId="167" fontId="4" fillId="2" borderId="6" xfId="2" applyNumberFormat="1" applyBorder="1"/>
    <xf numFmtId="180" fontId="4" fillId="2" borderId="6" xfId="2" applyNumberFormat="1" applyBorder="1"/>
    <xf numFmtId="184" fontId="4" fillId="2" borderId="2" xfId="2" applyNumberFormat="1" applyBorder="1"/>
    <xf numFmtId="167" fontId="4" fillId="2" borderId="1" xfId="2" applyNumberFormat="1" applyBorder="1"/>
    <xf numFmtId="167" fontId="4" fillId="2" borderId="7" xfId="2" applyNumberFormat="1" applyBorder="1"/>
    <xf numFmtId="167" fontId="4" fillId="2" borderId="2" xfId="2" applyNumberFormat="1" applyBorder="1"/>
    <xf numFmtId="180" fontId="4" fillId="2" borderId="2" xfId="2" applyNumberFormat="1" applyBorder="1"/>
    <xf numFmtId="184" fontId="1" fillId="0" borderId="7" xfId="0" applyNumberFormat="1" applyFont="1" applyBorder="1"/>
    <xf numFmtId="184" fontId="1" fillId="9" borderId="7" xfId="0" applyNumberFormat="1" applyFont="1" applyFill="1" applyBorder="1"/>
    <xf numFmtId="184" fontId="4" fillId="2" borderId="8" xfId="2" applyNumberFormat="1" applyBorder="1"/>
    <xf numFmtId="184" fontId="4" fillId="2" borderId="7" xfId="2" applyNumberFormat="1" applyBorder="1"/>
    <xf numFmtId="16" fontId="1" fillId="0" borderId="0" xfId="0" quotePrefix="1" applyNumberFormat="1" applyFont="1" applyAlignment="1">
      <alignment horizontal="right"/>
    </xf>
    <xf numFmtId="165" fontId="8" fillId="0" borderId="7" xfId="3" applyNumberFormat="1" applyFont="1" applyFill="1" applyBorder="1"/>
    <xf numFmtId="165" fontId="8" fillId="0" borderId="8" xfId="3" applyNumberFormat="1" applyFont="1" applyFill="1" applyBorder="1"/>
    <xf numFmtId="170" fontId="1" fillId="0" borderId="7" xfId="0" applyNumberFormat="1" applyFont="1" applyBorder="1"/>
    <xf numFmtId="171" fontId="1" fillId="0" borderId="8" xfId="0" applyNumberFormat="1" applyFont="1" applyBorder="1"/>
    <xf numFmtId="171" fontId="1" fillId="0" borderId="7" xfId="0" applyNumberFormat="1" applyFont="1" applyBorder="1"/>
    <xf numFmtId="167" fontId="1" fillId="9" borderId="0" xfId="0" applyNumberFormat="1" applyFont="1" applyFill="1"/>
    <xf numFmtId="182" fontId="0" fillId="9" borderId="0" xfId="0" applyNumberFormat="1" applyFill="1"/>
    <xf numFmtId="0" fontId="1" fillId="0" borderId="0" xfId="0" applyFont="1" applyAlignment="1">
      <alignment horizontal="center"/>
    </xf>
  </cellXfs>
  <cellStyles count="5">
    <cellStyle name="Bad" xfId="2" builtinId="27"/>
    <cellStyle name="Good" xfId="3" builtinId="26"/>
    <cellStyle name="Neutral" xfId="4" builtinId="28"/>
    <cellStyle name="Normal" xfId="0" builtinId="0"/>
    <cellStyle name="Normal 2" xfId="1" xr:uid="{A9035D68-A862-4108-AECE-CE414096C58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X48"/>
  <sheetViews>
    <sheetView zoomScale="75" zoomScaleNormal="75" workbookViewId="0">
      <selection activeCell="G33" sqref="G33"/>
    </sheetView>
  </sheetViews>
  <sheetFormatPr defaultRowHeight="15" x14ac:dyDescent="0.25"/>
  <cols>
    <col min="2" max="2" width="6.7109375" customWidth="1"/>
    <col min="3" max="3" width="25.5703125" customWidth="1"/>
    <col min="4" max="4" width="16.85546875" bestFit="1" customWidth="1"/>
    <col min="5" max="5" width="13.28515625" customWidth="1"/>
    <col min="6" max="6" width="9.140625" customWidth="1"/>
    <col min="10" max="10" width="13" customWidth="1"/>
    <col min="12" max="14" width="13.28515625" customWidth="1"/>
    <col min="15" max="15" width="16.7109375" customWidth="1"/>
    <col min="16" max="16" width="15.5703125" customWidth="1"/>
    <col min="17" max="17" width="22.85546875" customWidth="1"/>
    <col min="18" max="18" width="11.140625" customWidth="1"/>
    <col min="19" max="19" width="16.5703125" customWidth="1"/>
    <col min="20" max="21" width="15" customWidth="1"/>
    <col min="22" max="22" width="17.140625" customWidth="1"/>
    <col min="23" max="23" width="14.85546875" customWidth="1"/>
    <col min="24" max="25" width="10.28515625" bestFit="1" customWidth="1"/>
    <col min="26" max="28" width="11.42578125" customWidth="1"/>
    <col min="29" max="34" width="12" customWidth="1"/>
    <col min="35" max="35" width="12" bestFit="1" customWidth="1"/>
    <col min="36" max="36" width="12.5703125" bestFit="1" customWidth="1"/>
    <col min="37" max="37" width="11.42578125" customWidth="1"/>
    <col min="43" max="43" width="12" bestFit="1" customWidth="1"/>
    <col min="45" max="45" width="10.5703125" bestFit="1" customWidth="1"/>
    <col min="51" max="51" width="12" bestFit="1" customWidth="1"/>
    <col min="53" max="53" width="10.5703125" bestFit="1" customWidth="1"/>
  </cols>
  <sheetData>
    <row r="1" spans="2:24" x14ac:dyDescent="0.25">
      <c r="C1" s="1" t="s">
        <v>50</v>
      </c>
      <c r="J1" s="31"/>
      <c r="K1" s="32"/>
      <c r="M1" s="31"/>
      <c r="N1" s="32"/>
    </row>
    <row r="2" spans="2:24" x14ac:dyDescent="0.25">
      <c r="J2" s="33" t="s">
        <v>0</v>
      </c>
      <c r="K2" s="34"/>
      <c r="L2" s="2"/>
      <c r="M2" s="33" t="s">
        <v>111</v>
      </c>
      <c r="N2" s="34"/>
      <c r="O2" s="2" t="s">
        <v>119</v>
      </c>
      <c r="P2" s="2"/>
      <c r="Q2" s="2" t="s">
        <v>118</v>
      </c>
      <c r="R2" s="2"/>
      <c r="U2" s="2" t="s">
        <v>39</v>
      </c>
    </row>
    <row r="3" spans="2:24" x14ac:dyDescent="0.25">
      <c r="D3" s="2" t="s">
        <v>214</v>
      </c>
      <c r="E3" s="2"/>
      <c r="F3" s="2" t="s">
        <v>213</v>
      </c>
      <c r="G3" s="2" t="s">
        <v>113</v>
      </c>
      <c r="H3" s="2" t="s">
        <v>114</v>
      </c>
      <c r="I3" s="2" t="s">
        <v>33</v>
      </c>
      <c r="J3" s="33" t="s">
        <v>34</v>
      </c>
      <c r="K3" s="34" t="s">
        <v>35</v>
      </c>
      <c r="L3" s="2" t="s">
        <v>88</v>
      </c>
      <c r="M3" s="33" t="s">
        <v>31</v>
      </c>
      <c r="N3" s="34" t="s">
        <v>32</v>
      </c>
      <c r="O3" s="2" t="s">
        <v>29</v>
      </c>
      <c r="P3" s="2" t="s">
        <v>30</v>
      </c>
      <c r="Q3" s="2" t="s">
        <v>31</v>
      </c>
      <c r="R3" s="2"/>
      <c r="S3" s="2" t="s">
        <v>36</v>
      </c>
      <c r="T3" s="2" t="s">
        <v>37</v>
      </c>
      <c r="U3" s="2" t="s">
        <v>38</v>
      </c>
      <c r="V3" s="2" t="s">
        <v>110</v>
      </c>
      <c r="W3" s="2" t="s">
        <v>109</v>
      </c>
      <c r="X3" s="2"/>
    </row>
    <row r="4" spans="2:24" x14ac:dyDescent="0.25">
      <c r="B4">
        <v>0</v>
      </c>
      <c r="C4" t="s">
        <v>1</v>
      </c>
      <c r="D4">
        <v>999</v>
      </c>
      <c r="E4" s="5">
        <v>1621266400</v>
      </c>
      <c r="F4">
        <f>INT(INT(1000000/(MOD(D4,10000)+50))*IF(D4&gt;10000,0.9,0.95))</f>
        <v>905</v>
      </c>
      <c r="G4">
        <v>2</v>
      </c>
      <c r="H4">
        <v>1</v>
      </c>
      <c r="I4">
        <v>0</v>
      </c>
      <c r="J4" s="35">
        <v>1000</v>
      </c>
      <c r="K4" s="36">
        <v>0</v>
      </c>
      <c r="L4">
        <f ca="1">MOD(OFFSET(IF(J4&gt;0,D$4,F$4),I4,0),10000)</f>
        <v>999</v>
      </c>
      <c r="M4" s="35">
        <f ca="1">INT($L4*J4/1000)</f>
        <v>999</v>
      </c>
      <c r="N4" s="36">
        <f ca="1">INT($L4*K4/1000)</f>
        <v>0</v>
      </c>
      <c r="O4">
        <f>J4</f>
        <v>1000</v>
      </c>
      <c r="P4">
        <f>K4</f>
        <v>0</v>
      </c>
      <c r="Q4">
        <f ca="1">INT(J4*$L4/1000)</f>
        <v>999</v>
      </c>
      <c r="R4">
        <f ca="1">INT(K4*$L4/1000)</f>
        <v>0</v>
      </c>
      <c r="S4" s="1">
        <f ca="1">Q4-P4</f>
        <v>999</v>
      </c>
      <c r="T4" s="1">
        <f ca="1">R4-O4</f>
        <v>-1000</v>
      </c>
      <c r="U4" s="1">
        <f ca="1">MAX(0,S4:T4)</f>
        <v>999</v>
      </c>
      <c r="V4" s="1">
        <f ca="1">U4</f>
        <v>999</v>
      </c>
      <c r="W4" s="1">
        <f>SUM(J4:K4)</f>
        <v>1000</v>
      </c>
    </row>
    <row r="5" spans="2:24" x14ac:dyDescent="0.25">
      <c r="B5">
        <v>1</v>
      </c>
      <c r="C5" t="s">
        <v>17</v>
      </c>
      <c r="D5" s="93">
        <v>10500</v>
      </c>
      <c r="E5" s="5">
        <v>1621266400</v>
      </c>
      <c r="F5">
        <f t="shared" ref="F5:F35" si="0">INT(INT(1000000/(MOD(D5,10000)+50))*IF(D5&gt;10000,0.9,0.95))</f>
        <v>1636</v>
      </c>
      <c r="G5">
        <v>3</v>
      </c>
      <c r="H5">
        <v>1</v>
      </c>
      <c r="I5">
        <f>I4</f>
        <v>0</v>
      </c>
      <c r="J5" s="35">
        <v>0</v>
      </c>
      <c r="K5" s="37">
        <v>2000</v>
      </c>
      <c r="L5">
        <f ca="1">MOD(OFFSET(IF(J5&gt;0,D$4,F$4),I5,0),10000)</f>
        <v>905</v>
      </c>
      <c r="M5" s="35">
        <f t="shared" ref="M5:M6" ca="1" si="1">INT($L5*J5/1000)</f>
        <v>0</v>
      </c>
      <c r="N5" s="36">
        <f ca="1">INT($L5*K5/1000)</f>
        <v>1810</v>
      </c>
      <c r="O5">
        <f>J5+O4</f>
        <v>1000</v>
      </c>
      <c r="P5">
        <f>K5+P4</f>
        <v>2000</v>
      </c>
      <c r="Q5">
        <f ca="1">INT(J5*L5/1000)+Q4</f>
        <v>999</v>
      </c>
      <c r="R5">
        <f ca="1">INT(K5*L5/1000)+R4</f>
        <v>1810</v>
      </c>
      <c r="S5" s="1">
        <f ca="1">Q5-P5</f>
        <v>-1001</v>
      </c>
      <c r="T5" s="1">
        <f ca="1">R5-O5</f>
        <v>810</v>
      </c>
      <c r="U5" s="1">
        <f t="shared" ref="U5:U6" ca="1" si="2">MAX(0,S5:T5)</f>
        <v>810</v>
      </c>
      <c r="V5" s="1">
        <f ca="1">V4+(U5-U4)</f>
        <v>810</v>
      </c>
      <c r="W5" s="1">
        <f>SUM(J5:K5)+W4</f>
        <v>3000</v>
      </c>
    </row>
    <row r="6" spans="2:24" x14ac:dyDescent="0.25">
      <c r="B6">
        <v>2</v>
      </c>
      <c r="C6" t="s">
        <v>3</v>
      </c>
      <c r="D6">
        <v>500</v>
      </c>
      <c r="E6" s="5">
        <v>1621266400</v>
      </c>
      <c r="F6">
        <f t="shared" si="0"/>
        <v>1727</v>
      </c>
      <c r="G6">
        <v>2</v>
      </c>
      <c r="H6">
        <v>1</v>
      </c>
      <c r="I6">
        <v>0</v>
      </c>
      <c r="J6" s="35">
        <v>1000</v>
      </c>
      <c r="K6" s="36">
        <v>0</v>
      </c>
      <c r="L6">
        <f ca="1">MOD(OFFSET(IF(J6&gt;0,D$4,F$4),I6,0),10000)</f>
        <v>999</v>
      </c>
      <c r="M6" s="35">
        <f t="shared" ca="1" si="1"/>
        <v>999</v>
      </c>
      <c r="N6" s="36">
        <f t="shared" ref="N6" ca="1" si="3">INT($L6*K6/1000)</f>
        <v>0</v>
      </c>
      <c r="O6">
        <f>J6+O5</f>
        <v>2000</v>
      </c>
      <c r="P6" s="24">
        <f>K6+P5</f>
        <v>2000</v>
      </c>
      <c r="Q6">
        <f ca="1">INT(J6*L6/1000)+Q5</f>
        <v>1998</v>
      </c>
      <c r="R6">
        <f ca="1">INT(K6*L6/1000)+R5</f>
        <v>1810</v>
      </c>
      <c r="S6" s="1">
        <f ca="1">Q6-P6</f>
        <v>-2</v>
      </c>
      <c r="T6" s="1">
        <f ca="1">R6-O6</f>
        <v>-190</v>
      </c>
      <c r="U6" s="1">
        <f t="shared" ca="1" si="2"/>
        <v>0</v>
      </c>
      <c r="V6" s="1">
        <f ca="1">V5+(U6-U5)</f>
        <v>0</v>
      </c>
      <c r="W6" s="1">
        <f>SUM(J6:K6)+W5</f>
        <v>4000</v>
      </c>
    </row>
    <row r="7" spans="2:24" x14ac:dyDescent="0.25">
      <c r="B7">
        <v>3</v>
      </c>
      <c r="C7" t="s">
        <v>4</v>
      </c>
      <c r="D7" s="93">
        <v>919</v>
      </c>
      <c r="E7" s="5">
        <v>1621266400</v>
      </c>
      <c r="F7">
        <f t="shared" si="0"/>
        <v>979</v>
      </c>
      <c r="J7" s="35"/>
      <c r="K7" s="36"/>
      <c r="M7" s="35"/>
      <c r="N7" s="36"/>
      <c r="S7" s="1"/>
      <c r="T7" s="1"/>
      <c r="U7" s="1"/>
      <c r="V7" s="1"/>
      <c r="W7" s="1"/>
    </row>
    <row r="8" spans="2:24" x14ac:dyDescent="0.25">
      <c r="B8">
        <v>4</v>
      </c>
      <c r="C8" t="s">
        <v>5</v>
      </c>
      <c r="D8">
        <v>909</v>
      </c>
      <c r="E8" s="5">
        <v>1621266400</v>
      </c>
      <c r="F8">
        <f t="shared" si="0"/>
        <v>989</v>
      </c>
      <c r="J8" s="35"/>
      <c r="K8" s="36"/>
      <c r="M8" s="35"/>
      <c r="N8" s="36"/>
      <c r="S8" s="1"/>
      <c r="T8" s="1"/>
      <c r="U8" s="1"/>
      <c r="V8" s="1"/>
      <c r="W8" s="1"/>
    </row>
    <row r="9" spans="2:24" x14ac:dyDescent="0.25">
      <c r="B9">
        <v>5</v>
      </c>
      <c r="C9" t="s">
        <v>6</v>
      </c>
      <c r="D9">
        <v>800</v>
      </c>
      <c r="E9" s="5">
        <v>1621266400</v>
      </c>
      <c r="F9">
        <f t="shared" si="0"/>
        <v>1117</v>
      </c>
      <c r="J9" s="35"/>
      <c r="K9" s="36"/>
      <c r="M9" s="35"/>
      <c r="N9" s="36"/>
      <c r="S9" s="1"/>
      <c r="T9" s="1"/>
      <c r="U9" s="1"/>
      <c r="V9" s="1"/>
      <c r="W9" s="1"/>
    </row>
    <row r="10" spans="2:24" x14ac:dyDescent="0.25">
      <c r="B10">
        <v>6</v>
      </c>
      <c r="C10" t="s">
        <v>7</v>
      </c>
      <c r="D10">
        <v>510</v>
      </c>
      <c r="E10" s="5">
        <v>1621266400</v>
      </c>
      <c r="F10">
        <f t="shared" si="0"/>
        <v>1695</v>
      </c>
      <c r="I10" s="2" t="s">
        <v>33</v>
      </c>
      <c r="J10" s="33" t="s">
        <v>34</v>
      </c>
      <c r="K10" s="34" t="s">
        <v>35</v>
      </c>
      <c r="L10" s="2" t="s">
        <v>28</v>
      </c>
      <c r="M10" s="33" t="s">
        <v>31</v>
      </c>
      <c r="N10" s="34" t="s">
        <v>32</v>
      </c>
      <c r="O10" s="2" t="s">
        <v>29</v>
      </c>
      <c r="P10" s="2" t="s">
        <v>30</v>
      </c>
      <c r="Q10" s="2" t="s">
        <v>31</v>
      </c>
      <c r="R10" s="2" t="s">
        <v>32</v>
      </c>
      <c r="S10" s="2" t="s">
        <v>36</v>
      </c>
      <c r="T10" s="2" t="s">
        <v>37</v>
      </c>
      <c r="U10" s="2" t="s">
        <v>38</v>
      </c>
      <c r="V10" s="2" t="s">
        <v>110</v>
      </c>
      <c r="W10" s="2" t="s">
        <v>109</v>
      </c>
      <c r="X10" s="2"/>
    </row>
    <row r="11" spans="2:24" x14ac:dyDescent="0.25">
      <c r="B11">
        <v>7</v>
      </c>
      <c r="C11" t="s">
        <v>8</v>
      </c>
      <c r="D11">
        <v>739</v>
      </c>
      <c r="E11" s="5">
        <v>1621266400</v>
      </c>
      <c r="F11">
        <f t="shared" si="0"/>
        <v>1203</v>
      </c>
      <c r="G11">
        <v>2</v>
      </c>
      <c r="H11">
        <v>1</v>
      </c>
      <c r="I11">
        <v>1</v>
      </c>
      <c r="J11" s="35">
        <v>1000</v>
      </c>
      <c r="K11" s="36">
        <v>0</v>
      </c>
      <c r="L11">
        <f ca="1">MOD(OFFSET(IF(J11&gt;0,D$4,F$4),I11,0),10000)</f>
        <v>500</v>
      </c>
      <c r="M11" s="35">
        <f ca="1">INT($L11*J11/1000)</f>
        <v>500</v>
      </c>
      <c r="N11" s="36">
        <f ca="1">INT($L11*K11/1000)</f>
        <v>0</v>
      </c>
      <c r="O11">
        <f>J11</f>
        <v>1000</v>
      </c>
      <c r="P11">
        <f>K11</f>
        <v>0</v>
      </c>
      <c r="Q11">
        <f ca="1">INT(J11*L11/1000)</f>
        <v>500</v>
      </c>
      <c r="R11">
        <f ca="1">INT(K11*L11/1000)</f>
        <v>0</v>
      </c>
      <c r="S11" s="1">
        <f ca="1">Q11-P11</f>
        <v>500</v>
      </c>
      <c r="T11" s="1">
        <f ca="1">R11-O11</f>
        <v>-1000</v>
      </c>
      <c r="U11" s="1">
        <f ca="1">MAX(0,S11:T11)</f>
        <v>500</v>
      </c>
      <c r="V11" s="1">
        <f ca="1">U11+V6</f>
        <v>500</v>
      </c>
      <c r="W11" s="1">
        <f>SUM(J11:K11)+W6</f>
        <v>5000</v>
      </c>
    </row>
    <row r="12" spans="2:24" x14ac:dyDescent="0.25">
      <c r="B12">
        <v>8</v>
      </c>
      <c r="C12" t="s">
        <v>9</v>
      </c>
      <c r="D12">
        <v>620</v>
      </c>
      <c r="E12" s="5">
        <v>1621266400</v>
      </c>
      <c r="F12">
        <f t="shared" si="0"/>
        <v>1417</v>
      </c>
      <c r="G12">
        <v>3</v>
      </c>
      <c r="H12">
        <v>1</v>
      </c>
      <c r="I12">
        <v>1</v>
      </c>
      <c r="J12" s="35">
        <v>0</v>
      </c>
      <c r="K12" s="37">
        <v>2000</v>
      </c>
      <c r="L12">
        <f ca="1">MOD(OFFSET(IF(J12&gt;0,D$4,F$4),I12,0),10000)</f>
        <v>1636</v>
      </c>
      <c r="M12" s="35">
        <f t="shared" ref="M12:M13" ca="1" si="4">INT($L12*J12/1000)</f>
        <v>0</v>
      </c>
      <c r="N12" s="36">
        <f t="shared" ref="N12:N13" ca="1" si="5">INT($L12*K12/1000)</f>
        <v>3272</v>
      </c>
      <c r="O12">
        <f>J12+O11</f>
        <v>1000</v>
      </c>
      <c r="P12">
        <f>K12+P11</f>
        <v>2000</v>
      </c>
      <c r="Q12">
        <f ca="1">INT(J12*L12/1000)+Q11</f>
        <v>500</v>
      </c>
      <c r="R12">
        <f ca="1">INT(K12*L12/1000)+R11</f>
        <v>3272</v>
      </c>
      <c r="S12" s="1">
        <f ca="1">Q12-P12</f>
        <v>-1500</v>
      </c>
      <c r="T12" s="1">
        <f ca="1">R12-O12</f>
        <v>2272</v>
      </c>
      <c r="U12" s="1">
        <f t="shared" ref="U12:U13" ca="1" si="6">MAX(0,S12:T12)</f>
        <v>2272</v>
      </c>
      <c r="V12" s="1">
        <f ca="1">V11+(U12-U11)</f>
        <v>2272</v>
      </c>
      <c r="W12" s="1">
        <f>SUM(J12:K12)+W11</f>
        <v>7000</v>
      </c>
    </row>
    <row r="13" spans="2:24" x14ac:dyDescent="0.25">
      <c r="B13">
        <v>9</v>
      </c>
      <c r="C13" t="s">
        <v>10</v>
      </c>
      <c r="D13">
        <v>960</v>
      </c>
      <c r="E13" s="5">
        <v>1621266400</v>
      </c>
      <c r="F13">
        <f t="shared" si="0"/>
        <v>940</v>
      </c>
      <c r="G13">
        <v>2</v>
      </c>
      <c r="H13">
        <v>1</v>
      </c>
      <c r="I13">
        <v>1</v>
      </c>
      <c r="J13" s="35">
        <v>1000</v>
      </c>
      <c r="K13" s="36">
        <v>0</v>
      </c>
      <c r="L13">
        <f ca="1">MOD(OFFSET(IF(J13&gt;0,D$4,F$4),I13,0),10000)</f>
        <v>500</v>
      </c>
      <c r="M13" s="35">
        <f t="shared" ca="1" si="4"/>
        <v>500</v>
      </c>
      <c r="N13" s="36">
        <f t="shared" ca="1" si="5"/>
        <v>0</v>
      </c>
      <c r="O13">
        <f>J13+O12</f>
        <v>2000</v>
      </c>
      <c r="P13" s="24">
        <f>K13+P12</f>
        <v>2000</v>
      </c>
      <c r="Q13">
        <f ca="1">INT(J13*L13/1000)+Q12</f>
        <v>1000</v>
      </c>
      <c r="R13">
        <f ca="1">INT(K13*L13/1000)+R12</f>
        <v>3272</v>
      </c>
      <c r="S13" s="1">
        <f ca="1">Q13-P13</f>
        <v>-1000</v>
      </c>
      <c r="T13" s="1">
        <f ca="1">R13-O13</f>
        <v>1272</v>
      </c>
      <c r="U13" s="1">
        <f t="shared" ca="1" si="6"/>
        <v>1272</v>
      </c>
      <c r="V13" s="1">
        <f ca="1">V12+(U13-U12)</f>
        <v>1272</v>
      </c>
      <c r="W13" s="1">
        <f>SUM(J13:K13)+W12</f>
        <v>8000</v>
      </c>
    </row>
    <row r="14" spans="2:24" x14ac:dyDescent="0.25">
      <c r="B14">
        <v>10</v>
      </c>
      <c r="C14" t="s">
        <v>11</v>
      </c>
      <c r="D14">
        <v>650</v>
      </c>
      <c r="E14" s="5">
        <v>1621266400</v>
      </c>
      <c r="F14">
        <f t="shared" si="0"/>
        <v>1356</v>
      </c>
      <c r="J14" s="35"/>
      <c r="K14" s="36"/>
      <c r="L14">
        <f>F5/1000*K12</f>
        <v>3272</v>
      </c>
      <c r="M14" s="35"/>
      <c r="N14" s="36"/>
      <c r="S14" s="1"/>
      <c r="T14" s="1"/>
      <c r="U14" s="1"/>
      <c r="V14" s="1"/>
      <c r="W14" s="1"/>
    </row>
    <row r="15" spans="2:24" x14ac:dyDescent="0.25">
      <c r="B15">
        <v>11</v>
      </c>
      <c r="C15" t="s">
        <v>12</v>
      </c>
      <c r="D15">
        <v>688</v>
      </c>
      <c r="E15" s="5">
        <v>1621266400</v>
      </c>
      <c r="F15">
        <f t="shared" si="0"/>
        <v>1287</v>
      </c>
      <c r="J15" s="35"/>
      <c r="K15" s="36"/>
      <c r="M15" s="35"/>
      <c r="N15" s="36"/>
      <c r="P15" s="20"/>
      <c r="S15" s="1"/>
      <c r="T15" s="1"/>
      <c r="U15" s="1" t="s">
        <v>40</v>
      </c>
      <c r="V15" s="1"/>
      <c r="W15" s="1"/>
    </row>
    <row r="16" spans="2:24" x14ac:dyDescent="0.25">
      <c r="B16">
        <v>12</v>
      </c>
      <c r="C16" t="s">
        <v>13</v>
      </c>
      <c r="D16">
        <v>970</v>
      </c>
      <c r="E16" s="5">
        <v>1621266400</v>
      </c>
      <c r="F16">
        <f t="shared" si="0"/>
        <v>931</v>
      </c>
      <c r="J16" s="35"/>
      <c r="K16" s="36"/>
      <c r="M16" s="35"/>
      <c r="N16" s="36"/>
      <c r="S16" s="1"/>
      <c r="T16" s="1"/>
      <c r="U16" s="1"/>
      <c r="V16" s="1"/>
      <c r="W16" s="1"/>
    </row>
    <row r="17" spans="2:24" x14ac:dyDescent="0.25">
      <c r="B17">
        <v>13</v>
      </c>
      <c r="C17" t="s">
        <v>14</v>
      </c>
      <c r="D17">
        <v>730</v>
      </c>
      <c r="E17" s="5">
        <v>1621266400</v>
      </c>
      <c r="F17">
        <f t="shared" si="0"/>
        <v>1217</v>
      </c>
      <c r="I17" s="2" t="s">
        <v>33</v>
      </c>
      <c r="J17" s="33" t="s">
        <v>34</v>
      </c>
      <c r="K17" s="34" t="s">
        <v>35</v>
      </c>
      <c r="L17" s="2" t="s">
        <v>28</v>
      </c>
      <c r="M17" s="33" t="s">
        <v>31</v>
      </c>
      <c r="N17" s="34" t="s">
        <v>32</v>
      </c>
      <c r="O17" s="2" t="s">
        <v>29</v>
      </c>
      <c r="P17" s="2" t="s">
        <v>30</v>
      </c>
      <c r="Q17" s="2" t="s">
        <v>31</v>
      </c>
      <c r="R17" s="2" t="s">
        <v>32</v>
      </c>
      <c r="S17" s="2" t="s">
        <v>36</v>
      </c>
      <c r="T17" s="2" t="s">
        <v>37</v>
      </c>
      <c r="U17" s="2" t="s">
        <v>38</v>
      </c>
      <c r="V17" s="2" t="s">
        <v>110</v>
      </c>
      <c r="W17" s="2" t="s">
        <v>109</v>
      </c>
      <c r="X17" s="2"/>
    </row>
    <row r="18" spans="2:24" x14ac:dyDescent="0.25">
      <c r="B18">
        <v>14</v>
      </c>
      <c r="C18" t="s">
        <v>15</v>
      </c>
      <c r="D18">
        <v>699</v>
      </c>
      <c r="E18" s="5">
        <v>1621266400</v>
      </c>
      <c r="F18">
        <f t="shared" si="0"/>
        <v>1268</v>
      </c>
      <c r="G18">
        <v>2</v>
      </c>
      <c r="H18">
        <v>0</v>
      </c>
      <c r="I18">
        <v>2</v>
      </c>
      <c r="J18" s="38">
        <v>1000</v>
      </c>
      <c r="K18" s="36">
        <v>0</v>
      </c>
      <c r="L18">
        <f ca="1">MOD(OFFSET(IF(J18&gt;0,D$4,F$4),I18,0),10000)</f>
        <v>500</v>
      </c>
      <c r="M18" s="35">
        <f ca="1">INT($L18*J18/1000)</f>
        <v>500</v>
      </c>
      <c r="N18" s="36">
        <f ca="1">INT($L18*K18/1000)</f>
        <v>0</v>
      </c>
      <c r="O18">
        <f>J18</f>
        <v>1000</v>
      </c>
      <c r="P18">
        <f>K18</f>
        <v>0</v>
      </c>
      <c r="Q18">
        <f ca="1">INT(J18*L18/1000)</f>
        <v>500</v>
      </c>
      <c r="R18">
        <f ca="1">INT(K18*L18/1000)</f>
        <v>0</v>
      </c>
      <c r="S18" s="1">
        <f ca="1">Q18-P18</f>
        <v>500</v>
      </c>
      <c r="T18" s="1">
        <f ca="1">R18-O18</f>
        <v>-1000</v>
      </c>
      <c r="U18" s="1">
        <f ca="1">MAX(0,S18:T18)</f>
        <v>500</v>
      </c>
      <c r="V18" s="1">
        <f ca="1">U18+V13</f>
        <v>1772</v>
      </c>
      <c r="W18" s="1">
        <f>SUM(J18:K18)+W13</f>
        <v>9000</v>
      </c>
    </row>
    <row r="19" spans="2:24" x14ac:dyDescent="0.25">
      <c r="B19">
        <v>15</v>
      </c>
      <c r="C19" t="s">
        <v>16</v>
      </c>
      <c r="D19">
        <v>884</v>
      </c>
      <c r="E19" s="5">
        <v>1621266400</v>
      </c>
      <c r="F19">
        <f t="shared" si="0"/>
        <v>1016</v>
      </c>
      <c r="G19">
        <v>3</v>
      </c>
      <c r="H19">
        <v>0</v>
      </c>
      <c r="I19">
        <v>2</v>
      </c>
      <c r="J19" s="35">
        <v>0</v>
      </c>
      <c r="K19" s="36">
        <v>2000</v>
      </c>
      <c r="L19">
        <f ca="1">MOD(OFFSET(IF(J19&gt;0,D$4,F$4),I19,0),10000)</f>
        <v>1727</v>
      </c>
      <c r="M19" s="35">
        <f t="shared" ref="M19:M20" ca="1" si="7">INT($L19*J19/1000)</f>
        <v>0</v>
      </c>
      <c r="N19" s="36">
        <f t="shared" ref="N19:N20" ca="1" si="8">INT($L19*K19/1000)</f>
        <v>3454</v>
      </c>
      <c r="O19">
        <f>J19+O18</f>
        <v>1000</v>
      </c>
      <c r="P19">
        <f>K19+P18</f>
        <v>2000</v>
      </c>
      <c r="Q19">
        <f ca="1">INT(J19*L19/1000)+Q18</f>
        <v>500</v>
      </c>
      <c r="R19">
        <f ca="1">INT(K19*L19/1000)+R18</f>
        <v>3454</v>
      </c>
      <c r="S19" s="1">
        <f ca="1">Q19-P19</f>
        <v>-1500</v>
      </c>
      <c r="T19" s="1">
        <f ca="1">R19-O19</f>
        <v>2454</v>
      </c>
      <c r="U19" s="1">
        <f t="shared" ref="U19" ca="1" si="9">MAX(0,S19:T19)</f>
        <v>2454</v>
      </c>
      <c r="V19" s="1">
        <f ca="1">V18+(U19-U18)</f>
        <v>3726</v>
      </c>
      <c r="W19" s="1">
        <f>SUM(J19:K19)+W18</f>
        <v>11000</v>
      </c>
    </row>
    <row r="20" spans="2:24" x14ac:dyDescent="0.25">
      <c r="B20">
        <v>16</v>
      </c>
      <c r="C20" t="s">
        <v>17</v>
      </c>
      <c r="D20">
        <v>10520</v>
      </c>
      <c r="E20" s="5">
        <v>1621266400</v>
      </c>
      <c r="F20">
        <f t="shared" si="0"/>
        <v>1578</v>
      </c>
      <c r="G20">
        <v>2</v>
      </c>
      <c r="H20">
        <v>0</v>
      </c>
      <c r="I20">
        <v>2</v>
      </c>
      <c r="J20" s="38">
        <v>1000</v>
      </c>
      <c r="K20" s="36">
        <v>0</v>
      </c>
      <c r="L20">
        <f ca="1">MOD(OFFSET(IF(J20&gt;0,D$4,F$4),I20,0),10000)</f>
        <v>500</v>
      </c>
      <c r="M20" s="35">
        <f t="shared" ca="1" si="7"/>
        <v>500</v>
      </c>
      <c r="N20" s="36">
        <f t="shared" ca="1" si="8"/>
        <v>0</v>
      </c>
      <c r="O20" s="24">
        <f>J20+O19</f>
        <v>2000</v>
      </c>
      <c r="P20">
        <f>K20+P19</f>
        <v>2000</v>
      </c>
      <c r="Q20">
        <f ca="1">INT(J20*L20/1000)+Q19</f>
        <v>1000</v>
      </c>
      <c r="R20">
        <f ca="1">INT(K20*L20/1000)+R19</f>
        <v>3454</v>
      </c>
      <c r="S20" s="1">
        <f ca="1">Q20-P20</f>
        <v>-1000</v>
      </c>
      <c r="T20" s="1">
        <f ca="1">R20-O20</f>
        <v>1454</v>
      </c>
      <c r="U20" s="1">
        <f ca="1">MAX(0,S20:T20)</f>
        <v>1454</v>
      </c>
      <c r="V20" s="1">
        <f ca="1">V19+(U20-U19)</f>
        <v>2726</v>
      </c>
      <c r="W20" s="1">
        <f>SUM(J20:K20)+W19</f>
        <v>12000</v>
      </c>
    </row>
    <row r="21" spans="2:24" x14ac:dyDescent="0.25">
      <c r="B21">
        <v>17</v>
      </c>
      <c r="C21" t="s">
        <v>18</v>
      </c>
      <c r="D21">
        <v>901</v>
      </c>
      <c r="E21" s="5">
        <v>1621266400</v>
      </c>
      <c r="F21">
        <f t="shared" si="0"/>
        <v>998</v>
      </c>
      <c r="J21" s="35"/>
      <c r="K21" s="36"/>
      <c r="M21" s="35"/>
      <c r="N21" s="36"/>
      <c r="S21" s="1"/>
      <c r="T21" s="1"/>
      <c r="U21" s="1"/>
      <c r="V21" s="1"/>
      <c r="W21" s="1"/>
    </row>
    <row r="22" spans="2:24" x14ac:dyDescent="0.25">
      <c r="B22">
        <v>18</v>
      </c>
      <c r="C22" t="s">
        <v>19</v>
      </c>
      <c r="D22">
        <v>620</v>
      </c>
      <c r="E22" s="5">
        <v>1621266400</v>
      </c>
      <c r="F22">
        <f t="shared" si="0"/>
        <v>1417</v>
      </c>
      <c r="J22" s="35"/>
      <c r="K22" s="36"/>
      <c r="M22" s="35"/>
      <c r="N22" s="36"/>
      <c r="R22" s="20"/>
      <c r="S22" s="1"/>
      <c r="T22" s="1"/>
      <c r="U22" s="1"/>
      <c r="V22" s="1"/>
      <c r="W22" s="1"/>
    </row>
    <row r="23" spans="2:24" x14ac:dyDescent="0.25">
      <c r="B23">
        <v>19</v>
      </c>
      <c r="C23" t="s">
        <v>20</v>
      </c>
      <c r="D23">
        <v>764</v>
      </c>
      <c r="E23" s="5">
        <v>1621266400</v>
      </c>
      <c r="F23">
        <f t="shared" si="0"/>
        <v>1166</v>
      </c>
      <c r="J23" s="35"/>
      <c r="K23" s="36"/>
      <c r="M23" s="35"/>
      <c r="N23" s="36"/>
      <c r="S23" s="1"/>
      <c r="T23" s="1"/>
      <c r="U23" s="2"/>
      <c r="V23" s="1"/>
      <c r="W23" s="1"/>
    </row>
    <row r="24" spans="2:24" x14ac:dyDescent="0.25">
      <c r="B24">
        <v>20</v>
      </c>
      <c r="C24" t="s">
        <v>21</v>
      </c>
      <c r="D24">
        <v>851</v>
      </c>
      <c r="E24" s="5">
        <v>1621266400</v>
      </c>
      <c r="F24">
        <f t="shared" si="0"/>
        <v>1053</v>
      </c>
      <c r="I24" s="2" t="s">
        <v>33</v>
      </c>
      <c r="J24" s="33" t="s">
        <v>34</v>
      </c>
      <c r="K24" s="34" t="s">
        <v>35</v>
      </c>
      <c r="L24" s="2" t="s">
        <v>28</v>
      </c>
      <c r="M24" s="33" t="s">
        <v>31</v>
      </c>
      <c r="N24" s="34" t="s">
        <v>32</v>
      </c>
      <c r="O24" s="2" t="s">
        <v>29</v>
      </c>
      <c r="P24" s="2" t="s">
        <v>30</v>
      </c>
      <c r="Q24" s="2" t="s">
        <v>31</v>
      </c>
      <c r="R24" s="2" t="s">
        <v>32</v>
      </c>
      <c r="S24" s="2" t="s">
        <v>36</v>
      </c>
      <c r="T24" s="2" t="s">
        <v>37</v>
      </c>
      <c r="U24" s="2" t="s">
        <v>38</v>
      </c>
      <c r="V24" s="2" t="s">
        <v>110</v>
      </c>
      <c r="W24" s="2" t="s">
        <v>109</v>
      </c>
      <c r="X24" s="2"/>
    </row>
    <row r="25" spans="2:24" x14ac:dyDescent="0.25">
      <c r="B25">
        <v>21</v>
      </c>
      <c r="C25" t="s">
        <v>216</v>
      </c>
      <c r="D25">
        <v>820</v>
      </c>
      <c r="E25" s="5">
        <v>1621266400</v>
      </c>
      <c r="F25">
        <f t="shared" si="0"/>
        <v>1091</v>
      </c>
      <c r="G25">
        <v>2</v>
      </c>
      <c r="H25" t="s">
        <v>212</v>
      </c>
      <c r="I25">
        <v>3</v>
      </c>
      <c r="J25" s="38">
        <v>1000</v>
      </c>
      <c r="K25" s="36"/>
      <c r="L25">
        <f ca="1">MOD(OFFSET(IF(J25&gt;0,D$4,F$4),I25,0),10000)</f>
        <v>919</v>
      </c>
      <c r="M25" s="35">
        <f ca="1">INT($L25*J25/1000)</f>
        <v>919</v>
      </c>
      <c r="N25" s="36">
        <f ca="1">INT($L25*K25/1000)</f>
        <v>0</v>
      </c>
      <c r="O25">
        <f>J25</f>
        <v>1000</v>
      </c>
      <c r="P25">
        <f>K25</f>
        <v>0</v>
      </c>
      <c r="Q25">
        <f ca="1">INT(J25*L25/1000)</f>
        <v>919</v>
      </c>
      <c r="R25">
        <f ca="1">INT(K25*L25/1000)</f>
        <v>0</v>
      </c>
      <c r="S25" s="1">
        <f ca="1">Q25-P25</f>
        <v>919</v>
      </c>
      <c r="T25" s="1">
        <f ca="1">R25-O25</f>
        <v>-1000</v>
      </c>
      <c r="U25" s="1">
        <f ca="1">MAX(0,S25:T25)</f>
        <v>919</v>
      </c>
      <c r="V25" s="1">
        <f ca="1">U25+V20</f>
        <v>3645</v>
      </c>
      <c r="W25" s="1">
        <f>SUM(J25:K25)+W20</f>
        <v>13000</v>
      </c>
    </row>
    <row r="26" spans="2:24" x14ac:dyDescent="0.25">
      <c r="B26">
        <v>22</v>
      </c>
      <c r="C26" t="s">
        <v>217</v>
      </c>
      <c r="D26">
        <v>770</v>
      </c>
      <c r="E26" s="5">
        <v>1621266400</v>
      </c>
      <c r="F26">
        <f t="shared" si="0"/>
        <v>1158</v>
      </c>
      <c r="G26">
        <v>2</v>
      </c>
      <c r="I26">
        <v>3</v>
      </c>
      <c r="J26" s="38">
        <v>1000</v>
      </c>
      <c r="K26" s="36"/>
      <c r="L26">
        <f ca="1">MOD(OFFSET(IF(J26&gt;0,D$4,F$4),I26,0),10000)</f>
        <v>919</v>
      </c>
      <c r="M26" s="35">
        <f t="shared" ref="M26:M27" ca="1" si="10">INT($L26*J26/1000)</f>
        <v>919</v>
      </c>
      <c r="N26" s="36">
        <f t="shared" ref="N26:N27" ca="1" si="11">INT($L26*K26/1000)</f>
        <v>0</v>
      </c>
      <c r="O26">
        <f>J26+O25</f>
        <v>2000</v>
      </c>
      <c r="P26">
        <f>K26+P25</f>
        <v>0</v>
      </c>
      <c r="Q26">
        <f ca="1">INT(J26*L26/1000)+Q25</f>
        <v>1838</v>
      </c>
      <c r="R26">
        <f ca="1">INT(K26*L26/1000)+R25</f>
        <v>0</v>
      </c>
      <c r="S26" s="1">
        <f ca="1">Q26-P26</f>
        <v>1838</v>
      </c>
      <c r="T26" s="1">
        <f ca="1">R26-O26</f>
        <v>-2000</v>
      </c>
      <c r="U26" s="1">
        <f t="shared" ref="U26" ca="1" si="12">MAX(0,S26:T26)</f>
        <v>1838</v>
      </c>
      <c r="V26" s="1">
        <f ca="1">V25+(U26-U25)</f>
        <v>4564</v>
      </c>
      <c r="W26" s="1">
        <f>SUM(J26:K26)+W25</f>
        <v>14000</v>
      </c>
    </row>
    <row r="27" spans="2:24" ht="15.75" thickBot="1" x14ac:dyDescent="0.3">
      <c r="B27">
        <v>23</v>
      </c>
      <c r="C27" t="s">
        <v>218</v>
      </c>
      <c r="D27">
        <v>790</v>
      </c>
      <c r="E27" s="5">
        <v>1621266400</v>
      </c>
      <c r="F27">
        <f t="shared" si="0"/>
        <v>1130</v>
      </c>
      <c r="G27">
        <v>3</v>
      </c>
      <c r="I27">
        <v>3</v>
      </c>
      <c r="J27" s="39"/>
      <c r="K27" s="40">
        <v>1000</v>
      </c>
      <c r="L27">
        <f ca="1">MOD(OFFSET(IF(J27&gt;0,D$4,F$4),I27,0),10000)</f>
        <v>979</v>
      </c>
      <c r="M27" s="39">
        <f t="shared" ca="1" si="10"/>
        <v>0</v>
      </c>
      <c r="N27" s="41">
        <f t="shared" ca="1" si="11"/>
        <v>979</v>
      </c>
      <c r="O27" s="25">
        <f>J27+O26</f>
        <v>2000</v>
      </c>
      <c r="P27" s="25">
        <f>K27+P26</f>
        <v>1000</v>
      </c>
      <c r="Q27">
        <f ca="1">INT(J27*L27/1000)+Q26</f>
        <v>1838</v>
      </c>
      <c r="R27">
        <f ca="1">INT(K27*L27/1000)+R26</f>
        <v>979</v>
      </c>
      <c r="S27" s="1">
        <f ca="1">Q27-P27</f>
        <v>838</v>
      </c>
      <c r="T27" s="1">
        <f ca="1">R27-O27</f>
        <v>-1021</v>
      </c>
      <c r="U27" s="1">
        <f ca="1">MAX(0,S27:T27)</f>
        <v>838</v>
      </c>
      <c r="V27" s="1">
        <f ca="1">V26+(U27-U26)</f>
        <v>3564</v>
      </c>
      <c r="W27" s="1">
        <f>SUM(J27:K27)+W26</f>
        <v>15000</v>
      </c>
    </row>
    <row r="28" spans="2:24" x14ac:dyDescent="0.25">
      <c r="B28">
        <v>24</v>
      </c>
      <c r="C28" t="s">
        <v>219</v>
      </c>
      <c r="D28">
        <v>730</v>
      </c>
      <c r="E28" s="5">
        <v>1621266400</v>
      </c>
      <c r="F28">
        <f t="shared" si="0"/>
        <v>1217</v>
      </c>
      <c r="S28" s="1"/>
      <c r="T28" s="1"/>
      <c r="U28" s="1"/>
      <c r="V28" s="1"/>
      <c r="W28" s="1"/>
    </row>
    <row r="29" spans="2:24" x14ac:dyDescent="0.25">
      <c r="B29">
        <v>25</v>
      </c>
      <c r="C29" t="s">
        <v>220</v>
      </c>
      <c r="D29">
        <v>690</v>
      </c>
      <c r="E29" s="5">
        <v>1621266400</v>
      </c>
      <c r="F29">
        <f t="shared" si="0"/>
        <v>1283</v>
      </c>
      <c r="T29" t="s">
        <v>77</v>
      </c>
      <c r="V29" s="6"/>
      <c r="W29" s="1"/>
    </row>
    <row r="30" spans="2:24" x14ac:dyDescent="0.25">
      <c r="B30">
        <v>26</v>
      </c>
      <c r="C30" t="s">
        <v>221</v>
      </c>
      <c r="D30">
        <v>970</v>
      </c>
      <c r="E30" s="5">
        <v>1621266400</v>
      </c>
      <c r="F30">
        <f t="shared" si="0"/>
        <v>931</v>
      </c>
      <c r="H30" s="78"/>
      <c r="J30" s="4"/>
      <c r="P30" t="s">
        <v>128</v>
      </c>
      <c r="Q30" s="4">
        <v>30000</v>
      </c>
      <c r="T30" s="2" t="s">
        <v>33</v>
      </c>
      <c r="U30" s="2" t="s">
        <v>78</v>
      </c>
      <c r="V30" s="6"/>
      <c r="W30" s="6"/>
    </row>
    <row r="31" spans="2:24" x14ac:dyDescent="0.25">
      <c r="B31">
        <v>27</v>
      </c>
      <c r="C31" t="s">
        <v>226</v>
      </c>
      <c r="D31">
        <v>760</v>
      </c>
      <c r="E31" s="5">
        <v>1621266400</v>
      </c>
      <c r="F31">
        <f t="shared" si="0"/>
        <v>1172</v>
      </c>
      <c r="J31" s="3"/>
      <c r="K31" s="2"/>
      <c r="L31" s="2"/>
      <c r="M31" s="2"/>
      <c r="N31" s="2"/>
      <c r="O31" s="2"/>
      <c r="P31" t="s">
        <v>126</v>
      </c>
      <c r="Q31" s="47">
        <v>10000</v>
      </c>
      <c r="R31" s="7"/>
      <c r="S31" s="7"/>
      <c r="T31" s="2">
        <v>0</v>
      </c>
      <c r="U31">
        <v>1</v>
      </c>
      <c r="X31" s="2"/>
    </row>
    <row r="32" spans="2:24" x14ac:dyDescent="0.25">
      <c r="B32">
        <v>28</v>
      </c>
      <c r="C32" t="s">
        <v>222</v>
      </c>
      <c r="D32">
        <v>919</v>
      </c>
      <c r="E32" s="5">
        <v>1621266400</v>
      </c>
      <c r="F32">
        <f t="shared" si="0"/>
        <v>979</v>
      </c>
      <c r="L32" s="1"/>
      <c r="M32" s="1"/>
      <c r="N32" s="1"/>
      <c r="O32" s="1"/>
      <c r="P32" t="s">
        <v>127</v>
      </c>
      <c r="Q32" s="4">
        <v>10000</v>
      </c>
      <c r="R32" s="6"/>
      <c r="S32" s="6"/>
      <c r="T32" s="2">
        <v>1</v>
      </c>
      <c r="U32">
        <v>1</v>
      </c>
    </row>
    <row r="33" spans="2:22" x14ac:dyDescent="0.25">
      <c r="B33">
        <v>29</v>
      </c>
      <c r="C33" t="s">
        <v>223</v>
      </c>
      <c r="D33">
        <v>720</v>
      </c>
      <c r="E33" s="5">
        <v>1621266400</v>
      </c>
      <c r="F33">
        <f t="shared" si="0"/>
        <v>1233</v>
      </c>
      <c r="L33" s="1"/>
      <c r="M33" s="1"/>
      <c r="N33" s="1"/>
      <c r="O33" s="1"/>
      <c r="P33" s="1"/>
      <c r="S33" s="6"/>
      <c r="T33" s="2">
        <v>2</v>
      </c>
      <c r="U33">
        <v>0</v>
      </c>
    </row>
    <row r="34" spans="2:22" x14ac:dyDescent="0.25">
      <c r="B34">
        <v>30</v>
      </c>
      <c r="C34" t="s">
        <v>224</v>
      </c>
      <c r="D34">
        <v>672</v>
      </c>
      <c r="E34" s="5">
        <v>1621266400</v>
      </c>
      <c r="F34">
        <f t="shared" si="0"/>
        <v>1315</v>
      </c>
      <c r="L34" s="1"/>
      <c r="M34" s="1"/>
      <c r="N34" s="1"/>
      <c r="O34" s="1"/>
      <c r="Q34" s="6"/>
      <c r="R34" s="6"/>
      <c r="S34" s="6"/>
      <c r="T34" s="2">
        <v>3</v>
      </c>
      <c r="U34" s="2">
        <v>2</v>
      </c>
    </row>
    <row r="35" spans="2:22" ht="15.75" thickBot="1" x14ac:dyDescent="0.3">
      <c r="B35">
        <v>31</v>
      </c>
      <c r="C35" t="s">
        <v>225</v>
      </c>
      <c r="D35">
        <v>500</v>
      </c>
      <c r="E35" s="5">
        <v>1621266400</v>
      </c>
      <c r="F35">
        <f t="shared" si="0"/>
        <v>1727</v>
      </c>
      <c r="L35" s="1"/>
      <c r="M35" s="1"/>
      <c r="N35" s="1"/>
      <c r="O35" s="1"/>
      <c r="Q35" s="4" t="s">
        <v>117</v>
      </c>
      <c r="R35" s="2" t="s">
        <v>46</v>
      </c>
      <c r="S35" s="2" t="s">
        <v>162</v>
      </c>
    </row>
    <row r="36" spans="2:22" x14ac:dyDescent="0.25">
      <c r="L36" s="1"/>
      <c r="M36" s="1"/>
      <c r="N36" s="1" t="s">
        <v>180</v>
      </c>
      <c r="O36" s="1" t="s">
        <v>177</v>
      </c>
      <c r="P36" s="1" t="s">
        <v>112</v>
      </c>
      <c r="Q36" s="79">
        <v>30000</v>
      </c>
      <c r="R36">
        <v>30000</v>
      </c>
      <c r="S36" s="191">
        <f ca="1">(R36+R38-L38)/10000</f>
        <v>2.9918</v>
      </c>
      <c r="U36" s="26"/>
    </row>
    <row r="37" spans="2:22" ht="15.75" thickBot="1" x14ac:dyDescent="0.3">
      <c r="M37" s="1"/>
      <c r="N37" s="1" t="s">
        <v>180</v>
      </c>
      <c r="O37" s="1" t="s">
        <v>178</v>
      </c>
      <c r="P37" s="1" t="s">
        <v>110</v>
      </c>
      <c r="Q37" s="80">
        <f ca="1">U27+U20+U13</f>
        <v>3564</v>
      </c>
      <c r="R37">
        <f ca="1">V27</f>
        <v>3564</v>
      </c>
      <c r="S37" s="191">
        <v>0</v>
      </c>
      <c r="U37" s="26"/>
    </row>
    <row r="38" spans="2:22" x14ac:dyDescent="0.25">
      <c r="J38" s="31"/>
      <c r="K38" s="83" t="s">
        <v>160</v>
      </c>
      <c r="L38" s="56">
        <f ca="1">$P$6+$R$6+$P$13+$R$13+$O$20+$Q$20+$O$27+$P$27</f>
        <v>15082</v>
      </c>
      <c r="M38" s="4"/>
      <c r="N38" s="1" t="s">
        <v>180</v>
      </c>
      <c r="O38" s="1" t="s">
        <v>179</v>
      </c>
      <c r="P38" s="1" t="s">
        <v>109</v>
      </c>
      <c r="Q38" s="81">
        <f>SUM(J4:K27)</f>
        <v>15000</v>
      </c>
      <c r="R38">
        <f>SUM(J4:K28)</f>
        <v>15000</v>
      </c>
      <c r="S38" s="191">
        <v>0</v>
      </c>
      <c r="U38" s="26"/>
    </row>
    <row r="39" spans="2:22" x14ac:dyDescent="0.25">
      <c r="C39" s="2"/>
      <c r="D39" s="2"/>
      <c r="J39" s="35"/>
      <c r="K39" s="12" t="s">
        <v>159</v>
      </c>
      <c r="L39" s="57">
        <f ca="1">+$R$6+$R$13+$Q$20</f>
        <v>6082</v>
      </c>
      <c r="M39" s="1"/>
      <c r="N39" s="1"/>
      <c r="O39" s="1"/>
      <c r="P39" s="1" t="s">
        <v>215</v>
      </c>
      <c r="Q39" s="81">
        <v>0</v>
      </c>
      <c r="R39">
        <v>0</v>
      </c>
      <c r="S39" s="191">
        <f ca="1">(R6+R13+Q20)*0.05/10000</f>
        <v>3.0410000000000003E-2</v>
      </c>
      <c r="U39" s="26"/>
    </row>
    <row r="40" spans="2:22" ht="15.75" thickBot="1" x14ac:dyDescent="0.3">
      <c r="B40" s="1"/>
      <c r="C40" s="1"/>
      <c r="J40" s="39"/>
      <c r="K40" s="84" t="s">
        <v>41</v>
      </c>
      <c r="L40" s="85">
        <f ca="1">0.05*L39</f>
        <v>304.10000000000002</v>
      </c>
      <c r="M40" s="1"/>
      <c r="N40" s="1"/>
      <c r="O40" s="1"/>
      <c r="P40" s="1" t="s">
        <v>120</v>
      </c>
      <c r="Q40" s="82"/>
      <c r="R40">
        <v>50000</v>
      </c>
      <c r="S40" s="191">
        <f ca="1">R40/10000-L40/10000</f>
        <v>4.9695900000000002</v>
      </c>
      <c r="U40" s="123"/>
      <c r="V40" s="123"/>
    </row>
    <row r="41" spans="2:22" x14ac:dyDescent="0.25">
      <c r="B41" s="1"/>
      <c r="C41" s="1"/>
      <c r="N41" s="1" t="s">
        <v>180</v>
      </c>
      <c r="O41" s="4"/>
      <c r="P41" s="1" t="s">
        <v>122</v>
      </c>
      <c r="R41">
        <v>10000</v>
      </c>
      <c r="S41" s="191">
        <f ca="1">(0.95*(M18+M20)-J6-J4-J11-J13+Q31)/10000</f>
        <v>0.69499999999999995</v>
      </c>
      <c r="T41" s="125"/>
    </row>
    <row r="42" spans="2:22" x14ac:dyDescent="0.25">
      <c r="B42" s="1"/>
      <c r="C42" s="1"/>
      <c r="L42" s="95"/>
      <c r="N42" s="1" t="s">
        <v>180</v>
      </c>
      <c r="O42" s="4"/>
      <c r="P42" s="1" t="s">
        <v>161</v>
      </c>
      <c r="R42">
        <v>10000</v>
      </c>
      <c r="S42" s="191">
        <f ca="1">(Q32+(N5+N12)*0.95-K19)/10000</f>
        <v>1.2827899999999999</v>
      </c>
      <c r="V42" s="26"/>
    </row>
    <row r="43" spans="2:22" x14ac:dyDescent="0.25">
      <c r="B43" s="1"/>
      <c r="C43" s="1"/>
      <c r="N43" s="1"/>
      <c r="S43" s="15"/>
      <c r="T43" s="26"/>
    </row>
    <row r="44" spans="2:22" x14ac:dyDescent="0.25">
      <c r="B44" s="1"/>
      <c r="C44" s="1"/>
      <c r="T44" s="26"/>
    </row>
    <row r="45" spans="2:22" x14ac:dyDescent="0.25">
      <c r="B45" s="1"/>
      <c r="C45" s="1"/>
      <c r="D45" s="4"/>
      <c r="Q45" s="26"/>
      <c r="R45" s="26"/>
      <c r="S45" s="26"/>
      <c r="U45" s="26"/>
    </row>
    <row r="46" spans="2:22" x14ac:dyDescent="0.25">
      <c r="B46" s="1"/>
      <c r="C46" s="1"/>
      <c r="S46" s="4"/>
      <c r="T46" s="26"/>
    </row>
    <row r="47" spans="2:22" x14ac:dyDescent="0.25">
      <c r="B47" s="1"/>
      <c r="C47" s="1"/>
      <c r="S47" s="26"/>
      <c r="T47" s="94"/>
    </row>
    <row r="48" spans="2:22" x14ac:dyDescent="0.25">
      <c r="S48" s="15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EA72B-0824-4474-8896-5DD7F46DC153}">
  <sheetPr codeName="Sheet10"/>
  <dimension ref="A1:AF49"/>
  <sheetViews>
    <sheetView topLeftCell="C1" zoomScale="75" zoomScaleNormal="75" workbookViewId="0">
      <selection activeCell="Q23" sqref="Q23"/>
    </sheetView>
  </sheetViews>
  <sheetFormatPr defaultRowHeight="15" x14ac:dyDescent="0.25"/>
  <cols>
    <col min="3" max="3" width="25.5703125" customWidth="1"/>
    <col min="4" max="4" width="16.85546875" bestFit="1" customWidth="1"/>
    <col min="5" max="5" width="13.28515625" customWidth="1"/>
    <col min="6" max="8" width="9.140625" customWidth="1"/>
    <col min="12" max="12" width="13" customWidth="1"/>
    <col min="14" max="16" width="13.28515625" customWidth="1"/>
    <col min="17" max="17" width="16.7109375" customWidth="1"/>
    <col min="18" max="18" width="13.28515625" customWidth="1"/>
    <col min="19" max="19" width="26.7109375" customWidth="1"/>
    <col min="20" max="20" width="11.140625" customWidth="1"/>
    <col min="21" max="21" width="16.5703125" customWidth="1"/>
    <col min="22" max="23" width="15" customWidth="1"/>
    <col min="24" max="24" width="17.140625" customWidth="1"/>
    <col min="25" max="25" width="14.85546875" customWidth="1"/>
    <col min="26" max="26" width="14.7109375" customWidth="1"/>
    <col min="27" max="27" width="13.42578125" customWidth="1"/>
    <col min="28" max="28" width="14.7109375" customWidth="1"/>
    <col min="29" max="29" width="11" customWidth="1"/>
    <col min="31" max="33" width="10.28515625" bestFit="1" customWidth="1"/>
    <col min="34" max="36" width="11.42578125" customWidth="1"/>
    <col min="37" max="42" width="12" customWidth="1"/>
    <col min="43" max="43" width="12" bestFit="1" customWidth="1"/>
    <col min="44" max="44" width="12.5703125" bestFit="1" customWidth="1"/>
    <col min="45" max="45" width="11.42578125" customWidth="1"/>
    <col min="51" max="51" width="12" bestFit="1" customWidth="1"/>
    <col min="53" max="53" width="10.5703125" bestFit="1" customWidth="1"/>
    <col min="59" max="59" width="12" bestFit="1" customWidth="1"/>
    <col min="61" max="61" width="10.5703125" bestFit="1" customWidth="1"/>
  </cols>
  <sheetData>
    <row r="1" spans="1:32" x14ac:dyDescent="0.25">
      <c r="C1" s="1" t="s">
        <v>50</v>
      </c>
      <c r="G1" s="31"/>
      <c r="H1" s="32"/>
      <c r="L1" s="31"/>
      <c r="M1" s="32"/>
      <c r="O1" s="31"/>
      <c r="P1" s="32"/>
    </row>
    <row r="2" spans="1:32" x14ac:dyDescent="0.25">
      <c r="G2" s="33" t="s">
        <v>0</v>
      </c>
      <c r="H2" s="34"/>
      <c r="L2" s="33" t="s">
        <v>0</v>
      </c>
      <c r="M2" s="34"/>
      <c r="N2" s="2"/>
      <c r="O2" s="33" t="s">
        <v>111</v>
      </c>
      <c r="P2" s="34"/>
      <c r="Q2" s="2" t="s">
        <v>119</v>
      </c>
      <c r="R2" s="2"/>
      <c r="S2" s="2" t="s">
        <v>118</v>
      </c>
      <c r="T2" s="2"/>
      <c r="W2" s="2" t="s">
        <v>39</v>
      </c>
      <c r="Z2" s="192" t="s">
        <v>115</v>
      </c>
      <c r="AA2" s="192"/>
      <c r="AB2" s="192" t="s">
        <v>116</v>
      </c>
      <c r="AC2" s="192"/>
    </row>
    <row r="3" spans="1:32" x14ac:dyDescent="0.25">
      <c r="G3" s="33" t="s">
        <v>34</v>
      </c>
      <c r="H3" s="34" t="s">
        <v>35</v>
      </c>
      <c r="I3" s="2" t="s">
        <v>113</v>
      </c>
      <c r="J3" s="2" t="s">
        <v>114</v>
      </c>
      <c r="K3" s="2" t="s">
        <v>33</v>
      </c>
      <c r="L3" s="33" t="s">
        <v>34</v>
      </c>
      <c r="M3" s="34" t="s">
        <v>35</v>
      </c>
      <c r="N3" s="2" t="s">
        <v>88</v>
      </c>
      <c r="O3" s="33" t="s">
        <v>31</v>
      </c>
      <c r="P3" s="34" t="s">
        <v>32</v>
      </c>
      <c r="Q3" s="2" t="s">
        <v>29</v>
      </c>
      <c r="R3" s="2" t="s">
        <v>30</v>
      </c>
      <c r="S3" s="2" t="s">
        <v>31</v>
      </c>
      <c r="T3" s="2"/>
      <c r="U3" s="2" t="s">
        <v>36</v>
      </c>
      <c r="V3" s="2" t="s">
        <v>37</v>
      </c>
      <c r="W3" s="2" t="s">
        <v>38</v>
      </c>
      <c r="X3" s="2" t="s">
        <v>110</v>
      </c>
      <c r="Y3" s="2" t="s">
        <v>109</v>
      </c>
      <c r="Z3" s="2" t="s">
        <v>83</v>
      </c>
      <c r="AA3" s="2" t="s">
        <v>84</v>
      </c>
      <c r="AB3" s="2" t="s">
        <v>83</v>
      </c>
      <c r="AC3" s="2" t="s">
        <v>84</v>
      </c>
      <c r="AE3" s="2"/>
      <c r="AF3" s="2"/>
    </row>
    <row r="4" spans="1:32" x14ac:dyDescent="0.25">
      <c r="A4">
        <f>INT(100000/(1+D4/1000))</f>
        <v>50025</v>
      </c>
      <c r="B4">
        <v>0</v>
      </c>
      <c r="C4" t="s">
        <v>1</v>
      </c>
      <c r="D4">
        <v>999</v>
      </c>
      <c r="E4" s="5">
        <v>1621266400</v>
      </c>
      <c r="F4">
        <f>INT(INT(1000000/(MOD(D4,10000)+50))*IF(D4&gt;10000,0.9,0.95))</f>
        <v>905</v>
      </c>
      <c r="G4" s="35">
        <v>1000</v>
      </c>
      <c r="H4" s="36">
        <v>0</v>
      </c>
      <c r="I4">
        <v>2</v>
      </c>
      <c r="J4">
        <v>0</v>
      </c>
      <c r="K4">
        <v>0</v>
      </c>
      <c r="L4" s="35">
        <v>1000</v>
      </c>
      <c r="M4" s="36">
        <v>0</v>
      </c>
      <c r="N4">
        <f ca="1">MOD(OFFSET(IF(L4&gt;0,D$4,F$4),K4,0),10000)</f>
        <v>999</v>
      </c>
      <c r="O4" s="35">
        <f ca="1">INT($N4*L4/1000)</f>
        <v>999</v>
      </c>
      <c r="P4" s="36">
        <f ca="1">INT($N4*M4/1000)</f>
        <v>0</v>
      </c>
      <c r="Q4">
        <f>L4</f>
        <v>1000</v>
      </c>
      <c r="R4">
        <f>M4</f>
        <v>0</v>
      </c>
      <c r="S4">
        <f ca="1">INT(L4*$N4/1000)</f>
        <v>999</v>
      </c>
      <c r="T4">
        <f ca="1">INT(M4*$N4/1000)</f>
        <v>0</v>
      </c>
      <c r="U4" s="1">
        <f ca="1">S4-R4</f>
        <v>999</v>
      </c>
      <c r="V4" s="1">
        <f ca="1">T4-Q4</f>
        <v>-1000</v>
      </c>
      <c r="W4" s="1">
        <f ca="1">MAX(0,U4:V4)</f>
        <v>999</v>
      </c>
      <c r="X4" s="1">
        <f ca="1">W4</f>
        <v>999</v>
      </c>
      <c r="Y4" s="1">
        <f>SUM(L4:M4)</f>
        <v>1000</v>
      </c>
      <c r="Z4" s="1">
        <f>L4</f>
        <v>1000</v>
      </c>
      <c r="AA4" s="1">
        <v>0</v>
      </c>
      <c r="AB4" s="1">
        <v>0</v>
      </c>
      <c r="AC4" s="1">
        <v>0</v>
      </c>
    </row>
    <row r="5" spans="1:32" x14ac:dyDescent="0.25">
      <c r="A5">
        <f t="shared" ref="A5:A35" si="0">INT(100000/(1+D5/1000))</f>
        <v>8695</v>
      </c>
      <c r="B5">
        <v>1</v>
      </c>
      <c r="C5" t="s">
        <v>17</v>
      </c>
      <c r="D5" s="93">
        <v>10500</v>
      </c>
      <c r="E5" s="5">
        <v>1621266400</v>
      </c>
      <c r="F5">
        <f t="shared" ref="F5:F35" si="1">INT(INT(1000000/(MOD(D5,10000)+50))*IF(D5&gt;10000,0.9,0.95))</f>
        <v>1636</v>
      </c>
      <c r="G5" s="35">
        <v>0</v>
      </c>
      <c r="H5" s="37">
        <v>2000</v>
      </c>
      <c r="I5">
        <v>3</v>
      </c>
      <c r="J5">
        <v>0</v>
      </c>
      <c r="K5">
        <f>K4</f>
        <v>0</v>
      </c>
      <c r="L5" s="35">
        <v>0</v>
      </c>
      <c r="M5" s="37">
        <v>2000</v>
      </c>
      <c r="N5">
        <f ca="1">MOD(OFFSET(IF(L5&gt;0,D$4,F$4),K5,0),10000)</f>
        <v>905</v>
      </c>
      <c r="O5" s="35">
        <f t="shared" ref="O5:P6" ca="1" si="2">INT($N5*L5/1000)</f>
        <v>0</v>
      </c>
      <c r="P5" s="36">
        <f ca="1">INT($N5*M5/1000)</f>
        <v>1810</v>
      </c>
      <c r="Q5">
        <f>L5+Q4</f>
        <v>1000</v>
      </c>
      <c r="R5">
        <f>M5+R4</f>
        <v>2000</v>
      </c>
      <c r="S5">
        <f ca="1">INT(L5*N5/1000)+S4</f>
        <v>999</v>
      </c>
      <c r="T5">
        <f ca="1">INT(M5*N5/1000)+T4</f>
        <v>1810</v>
      </c>
      <c r="U5" s="1">
        <f ca="1">S5-R5</f>
        <v>-1001</v>
      </c>
      <c r="V5" s="1">
        <f ca="1">T5-Q5</f>
        <v>810</v>
      </c>
      <c r="W5" s="1">
        <f t="shared" ref="W5:W6" ca="1" si="3">MAX(0,U5:V5)</f>
        <v>810</v>
      </c>
      <c r="X5" s="1">
        <f ca="1">X4+(W5-W4)</f>
        <v>810</v>
      </c>
      <c r="Y5" s="1">
        <f>SUM(L5:M5)+Y4</f>
        <v>3000</v>
      </c>
      <c r="Z5" s="1">
        <v>0</v>
      </c>
      <c r="AA5" s="1">
        <f>M5</f>
        <v>2000</v>
      </c>
      <c r="AB5" s="1">
        <v>0</v>
      </c>
      <c r="AC5" s="1">
        <f ca="1">M5+P5</f>
        <v>3810</v>
      </c>
    </row>
    <row r="6" spans="1:32" x14ac:dyDescent="0.25">
      <c r="A6">
        <f t="shared" si="0"/>
        <v>66666</v>
      </c>
      <c r="B6">
        <v>2</v>
      </c>
      <c r="C6" t="s">
        <v>3</v>
      </c>
      <c r="D6">
        <v>500</v>
      </c>
      <c r="E6" s="5">
        <v>1621266400</v>
      </c>
      <c r="F6">
        <f t="shared" si="1"/>
        <v>1727</v>
      </c>
      <c r="G6" s="35">
        <v>1000</v>
      </c>
      <c r="H6" s="36">
        <v>0</v>
      </c>
      <c r="I6">
        <v>2</v>
      </c>
      <c r="J6">
        <v>0</v>
      </c>
      <c r="K6">
        <v>0</v>
      </c>
      <c r="L6" s="35">
        <v>1000</v>
      </c>
      <c r="M6" s="36">
        <v>0</v>
      </c>
      <c r="N6">
        <f ca="1">MOD(OFFSET(IF(L6&gt;0,D$4,F$4),K6,0),10000)</f>
        <v>999</v>
      </c>
      <c r="O6" s="35">
        <f t="shared" ca="1" si="2"/>
        <v>999</v>
      </c>
      <c r="P6" s="36">
        <f t="shared" ca="1" si="2"/>
        <v>0</v>
      </c>
      <c r="Q6">
        <f>L6+Q5</f>
        <v>2000</v>
      </c>
      <c r="R6" s="24">
        <f>M6+R5</f>
        <v>2000</v>
      </c>
      <c r="S6">
        <f ca="1">INT(L6*N6/1000)+S5</f>
        <v>1998</v>
      </c>
      <c r="T6">
        <f ca="1">INT(M6*N6/1000)+T5</f>
        <v>1810</v>
      </c>
      <c r="U6" s="1">
        <f ca="1">S6-R6</f>
        <v>-2</v>
      </c>
      <c r="V6" s="1">
        <f ca="1">T6-Q6</f>
        <v>-190</v>
      </c>
      <c r="W6" s="1">
        <f t="shared" ca="1" si="3"/>
        <v>0</v>
      </c>
      <c r="X6" s="1">
        <f ca="1">X5+(W6-W5)</f>
        <v>0</v>
      </c>
      <c r="Y6" s="1">
        <f>SUM(L6:M6)+Y5</f>
        <v>4000</v>
      </c>
      <c r="Z6" s="1">
        <f>L6</f>
        <v>1000</v>
      </c>
      <c r="AA6" s="1">
        <v>0</v>
      </c>
      <c r="AB6" s="1">
        <v>0</v>
      </c>
      <c r="AC6" s="1">
        <v>0</v>
      </c>
    </row>
    <row r="7" spans="1:32" x14ac:dyDescent="0.25">
      <c r="A7">
        <f t="shared" si="0"/>
        <v>52110</v>
      </c>
      <c r="B7">
        <v>3</v>
      </c>
      <c r="C7" t="s">
        <v>4</v>
      </c>
      <c r="D7" s="93">
        <v>919</v>
      </c>
      <c r="E7" s="5">
        <v>1621266400</v>
      </c>
      <c r="F7">
        <f t="shared" si="1"/>
        <v>979</v>
      </c>
      <c r="G7" s="35"/>
      <c r="H7" s="36"/>
      <c r="L7" s="35"/>
      <c r="M7" s="36"/>
      <c r="O7" s="35"/>
      <c r="P7" s="36"/>
      <c r="U7" s="1"/>
      <c r="V7" s="1"/>
      <c r="W7" s="1"/>
      <c r="X7" s="1"/>
      <c r="Y7" s="1"/>
      <c r="Z7" s="1"/>
      <c r="AA7" s="1"/>
      <c r="AB7" s="1"/>
      <c r="AC7" s="1"/>
    </row>
    <row r="8" spans="1:32" x14ac:dyDescent="0.25">
      <c r="A8">
        <f t="shared" si="0"/>
        <v>52383</v>
      </c>
      <c r="B8">
        <v>4</v>
      </c>
      <c r="C8" t="s">
        <v>5</v>
      </c>
      <c r="D8">
        <v>909</v>
      </c>
      <c r="E8" s="5">
        <v>1621266400</v>
      </c>
      <c r="F8">
        <f t="shared" si="1"/>
        <v>989</v>
      </c>
      <c r="G8" s="35"/>
      <c r="H8" s="36"/>
      <c r="L8" s="35"/>
      <c r="M8" s="36"/>
      <c r="O8" s="35"/>
      <c r="P8" s="36"/>
      <c r="U8" s="1"/>
      <c r="V8" s="1"/>
      <c r="W8" s="1"/>
      <c r="X8" s="1"/>
      <c r="Y8" s="1"/>
      <c r="Z8" s="1"/>
      <c r="AA8" s="1"/>
      <c r="AB8" s="1"/>
      <c r="AC8" s="1"/>
    </row>
    <row r="9" spans="1:32" x14ac:dyDescent="0.25">
      <c r="A9">
        <f t="shared" si="0"/>
        <v>55555</v>
      </c>
      <c r="B9">
        <v>5</v>
      </c>
      <c r="C9" t="s">
        <v>6</v>
      </c>
      <c r="D9">
        <v>800</v>
      </c>
      <c r="E9" s="5">
        <v>1621266400</v>
      </c>
      <c r="F9">
        <f t="shared" si="1"/>
        <v>1117</v>
      </c>
      <c r="G9" s="35"/>
      <c r="H9" s="36"/>
      <c r="L9" s="35"/>
      <c r="M9" s="36"/>
      <c r="O9" s="35"/>
      <c r="P9" s="36"/>
      <c r="U9" s="1"/>
      <c r="V9" s="1"/>
      <c r="W9" s="1"/>
      <c r="X9" s="1"/>
      <c r="Y9" s="1"/>
      <c r="Z9" s="1"/>
      <c r="AA9" s="1"/>
      <c r="AB9" s="1"/>
      <c r="AC9" s="1"/>
    </row>
    <row r="10" spans="1:32" x14ac:dyDescent="0.25">
      <c r="A10">
        <f t="shared" si="0"/>
        <v>66225</v>
      </c>
      <c r="B10">
        <v>6</v>
      </c>
      <c r="C10" t="s">
        <v>7</v>
      </c>
      <c r="D10">
        <v>510</v>
      </c>
      <c r="E10" s="5">
        <v>1621266400</v>
      </c>
      <c r="F10">
        <f t="shared" si="1"/>
        <v>1695</v>
      </c>
      <c r="G10" s="33" t="s">
        <v>34</v>
      </c>
      <c r="H10" s="34" t="s">
        <v>35</v>
      </c>
      <c r="K10" s="2" t="s">
        <v>33</v>
      </c>
      <c r="L10" s="33" t="s">
        <v>34</v>
      </c>
      <c r="M10" s="34" t="s">
        <v>35</v>
      </c>
      <c r="N10" s="2" t="s">
        <v>28</v>
      </c>
      <c r="O10" s="33" t="s">
        <v>31</v>
      </c>
      <c r="P10" s="34" t="s">
        <v>32</v>
      </c>
      <c r="Q10" s="2" t="s">
        <v>29</v>
      </c>
      <c r="R10" s="2" t="s">
        <v>30</v>
      </c>
      <c r="S10" s="2" t="s">
        <v>31</v>
      </c>
      <c r="T10" s="2" t="s">
        <v>32</v>
      </c>
      <c r="U10" s="2" t="s">
        <v>36</v>
      </c>
      <c r="V10" s="2" t="s">
        <v>37</v>
      </c>
      <c r="W10" s="2" t="s">
        <v>38</v>
      </c>
      <c r="X10" s="2" t="s">
        <v>110</v>
      </c>
      <c r="Y10" s="2" t="s">
        <v>109</v>
      </c>
      <c r="Z10" s="1"/>
      <c r="AA10" s="2"/>
      <c r="AB10" s="1"/>
      <c r="AC10" s="2"/>
      <c r="AE10" s="2"/>
      <c r="AF10" s="2"/>
    </row>
    <row r="11" spans="1:32" x14ac:dyDescent="0.25">
      <c r="A11">
        <f t="shared" si="0"/>
        <v>57504</v>
      </c>
      <c r="B11">
        <v>7</v>
      </c>
      <c r="C11" t="s">
        <v>8</v>
      </c>
      <c r="D11">
        <v>739</v>
      </c>
      <c r="E11" s="5">
        <v>1621266400</v>
      </c>
      <c r="F11">
        <f t="shared" si="1"/>
        <v>1203</v>
      </c>
      <c r="G11" s="35">
        <v>1000</v>
      </c>
      <c r="H11" s="36">
        <v>0</v>
      </c>
      <c r="I11">
        <v>2</v>
      </c>
      <c r="J11">
        <v>0</v>
      </c>
      <c r="K11">
        <v>1</v>
      </c>
      <c r="L11" s="35">
        <v>1000</v>
      </c>
      <c r="M11" s="36">
        <v>0</v>
      </c>
      <c r="N11">
        <f ca="1">MOD(OFFSET(IF(L11&gt;0,D$4,F$4),K11,0),10000)</f>
        <v>500</v>
      </c>
      <c r="O11" s="100">
        <f ca="1">INT($N11*L11/1000)</f>
        <v>500</v>
      </c>
      <c r="P11" s="36">
        <f ca="1">INT($N11*M11/1000)</f>
        <v>0</v>
      </c>
      <c r="Q11">
        <f>L11</f>
        <v>1000</v>
      </c>
      <c r="R11">
        <f>M11</f>
        <v>0</v>
      </c>
      <c r="S11">
        <f ca="1">INT(L11*N11/1000)</f>
        <v>500</v>
      </c>
      <c r="T11">
        <f ca="1">INT(M11*N11/1000)</f>
        <v>0</v>
      </c>
      <c r="U11" s="1">
        <f ca="1">S11-R11</f>
        <v>500</v>
      </c>
      <c r="V11" s="1">
        <f ca="1">T11-Q11</f>
        <v>-1000</v>
      </c>
      <c r="W11" s="1">
        <f ca="1">MAX(0,U11:V11)</f>
        <v>500</v>
      </c>
      <c r="X11" s="1">
        <f ca="1">W11+X6</f>
        <v>500</v>
      </c>
      <c r="Y11" s="1">
        <f>SUM(L11:M11)+Y6</f>
        <v>5000</v>
      </c>
      <c r="Z11" s="1">
        <f>L11</f>
        <v>1000</v>
      </c>
      <c r="AA11" s="1">
        <v>0</v>
      </c>
      <c r="AB11" s="1">
        <v>0</v>
      </c>
      <c r="AC11" s="1">
        <v>0</v>
      </c>
    </row>
    <row r="12" spans="1:32" x14ac:dyDescent="0.25">
      <c r="A12">
        <f t="shared" si="0"/>
        <v>61728</v>
      </c>
      <c r="B12">
        <v>8</v>
      </c>
      <c r="C12" t="s">
        <v>9</v>
      </c>
      <c r="D12">
        <v>620</v>
      </c>
      <c r="E12" s="5">
        <v>1621266400</v>
      </c>
      <c r="F12">
        <f t="shared" si="1"/>
        <v>1417</v>
      </c>
      <c r="G12" s="35">
        <v>0</v>
      </c>
      <c r="H12" s="37">
        <v>2000</v>
      </c>
      <c r="I12">
        <v>3</v>
      </c>
      <c r="J12">
        <v>0</v>
      </c>
      <c r="K12">
        <v>1</v>
      </c>
      <c r="L12" s="35">
        <v>0</v>
      </c>
      <c r="M12" s="37">
        <v>2000</v>
      </c>
      <c r="N12">
        <f ca="1">MOD(OFFSET(IF(L12&gt;0,D$4,F$4),K12,0),10000)</f>
        <v>1636</v>
      </c>
      <c r="O12" s="35">
        <f t="shared" ref="O12:P13" ca="1" si="4">INT($N12*L12/1000)</f>
        <v>0</v>
      </c>
      <c r="P12" s="36">
        <f t="shared" ca="1" si="4"/>
        <v>3272</v>
      </c>
      <c r="Q12">
        <f>L12+Q11</f>
        <v>1000</v>
      </c>
      <c r="R12">
        <f>M12+R11</f>
        <v>2000</v>
      </c>
      <c r="S12">
        <f ca="1">INT(L12*N12/1000)+S11</f>
        <v>500</v>
      </c>
      <c r="T12">
        <f ca="1">INT(M12*N12/1000)+T11</f>
        <v>3272</v>
      </c>
      <c r="U12" s="1">
        <f ca="1">S12-R12</f>
        <v>-1500</v>
      </c>
      <c r="V12" s="1">
        <f ca="1">T12-Q12</f>
        <v>2272</v>
      </c>
      <c r="W12" s="1">
        <f t="shared" ref="W12:W13" ca="1" si="5">MAX(0,U12:V12)</f>
        <v>2272</v>
      </c>
      <c r="X12" s="1">
        <f ca="1">X11+(W12-W11)</f>
        <v>2272</v>
      </c>
      <c r="Y12" s="1">
        <f>SUM(L12:M12)+Y11</f>
        <v>7000</v>
      </c>
      <c r="Z12" s="1">
        <v>0</v>
      </c>
      <c r="AA12" s="1">
        <f>M12</f>
        <v>2000</v>
      </c>
      <c r="AB12" s="1">
        <v>0</v>
      </c>
      <c r="AC12" s="1">
        <f ca="1">M12+P12</f>
        <v>5272</v>
      </c>
    </row>
    <row r="13" spans="1:32" x14ac:dyDescent="0.25">
      <c r="A13">
        <f t="shared" si="0"/>
        <v>51020</v>
      </c>
      <c r="B13">
        <v>9</v>
      </c>
      <c r="C13" t="s">
        <v>10</v>
      </c>
      <c r="D13">
        <v>960</v>
      </c>
      <c r="E13" s="5">
        <v>1621266400</v>
      </c>
      <c r="F13">
        <f t="shared" si="1"/>
        <v>940</v>
      </c>
      <c r="G13" s="35">
        <v>1000</v>
      </c>
      <c r="H13" s="36">
        <v>0</v>
      </c>
      <c r="I13">
        <v>2</v>
      </c>
      <c r="J13">
        <v>0</v>
      </c>
      <c r="K13">
        <v>1</v>
      </c>
      <c r="L13" s="35">
        <v>1000</v>
      </c>
      <c r="M13" s="36">
        <v>0</v>
      </c>
      <c r="N13">
        <f ca="1">MOD(OFFSET(IF(L13&gt;0,D$4,F$4),K13,0),10000)</f>
        <v>500</v>
      </c>
      <c r="O13" s="35">
        <f t="shared" ca="1" si="4"/>
        <v>500</v>
      </c>
      <c r="P13" s="36">
        <f t="shared" ca="1" si="4"/>
        <v>0</v>
      </c>
      <c r="Q13">
        <f>L13+Q12</f>
        <v>2000</v>
      </c>
      <c r="R13" s="24">
        <f>M13+R12</f>
        <v>2000</v>
      </c>
      <c r="S13">
        <f ca="1">INT(L13*N13/1000)+S12</f>
        <v>1000</v>
      </c>
      <c r="T13">
        <f ca="1">INT(M13*N13/1000)+T12</f>
        <v>3272</v>
      </c>
      <c r="U13" s="1">
        <f ca="1">S13-R13</f>
        <v>-1000</v>
      </c>
      <c r="V13" s="1">
        <f ca="1">T13-Q13</f>
        <v>1272</v>
      </c>
      <c r="W13" s="1">
        <f t="shared" ca="1" si="5"/>
        <v>1272</v>
      </c>
      <c r="X13" s="1">
        <f ca="1">X12+(W13-W12)</f>
        <v>1272</v>
      </c>
      <c r="Y13" s="1">
        <f>SUM(L13:M13)+Y12</f>
        <v>8000</v>
      </c>
      <c r="Z13" s="1">
        <f>L13</f>
        <v>1000</v>
      </c>
      <c r="AA13" s="1">
        <v>0</v>
      </c>
      <c r="AB13" s="1">
        <v>0</v>
      </c>
      <c r="AC13" s="1">
        <v>0</v>
      </c>
    </row>
    <row r="14" spans="1:32" x14ac:dyDescent="0.25">
      <c r="A14">
        <f t="shared" si="0"/>
        <v>60606</v>
      </c>
      <c r="B14">
        <v>10</v>
      </c>
      <c r="C14" t="s">
        <v>11</v>
      </c>
      <c r="D14">
        <v>650</v>
      </c>
      <c r="E14" s="5">
        <v>1621266400</v>
      </c>
      <c r="F14">
        <f t="shared" si="1"/>
        <v>1356</v>
      </c>
      <c r="G14" s="35"/>
      <c r="H14" s="36"/>
      <c r="L14" s="35"/>
      <c r="M14" s="36"/>
      <c r="O14" s="35"/>
      <c r="P14" s="36"/>
      <c r="U14" s="1"/>
      <c r="V14" s="1"/>
      <c r="W14" s="1"/>
      <c r="X14" s="1"/>
      <c r="Y14" s="1"/>
      <c r="Z14" s="1"/>
      <c r="AA14" s="1"/>
      <c r="AB14" s="1"/>
      <c r="AC14" s="1"/>
    </row>
    <row r="15" spans="1:32" x14ac:dyDescent="0.25">
      <c r="A15">
        <f t="shared" si="0"/>
        <v>59241</v>
      </c>
      <c r="B15">
        <v>11</v>
      </c>
      <c r="C15" t="s">
        <v>12</v>
      </c>
      <c r="D15">
        <v>688</v>
      </c>
      <c r="E15" s="5">
        <v>1621266400</v>
      </c>
      <c r="F15">
        <f t="shared" si="1"/>
        <v>1287</v>
      </c>
      <c r="G15" s="35"/>
      <c r="H15" s="36"/>
      <c r="L15" s="35"/>
      <c r="M15" s="36"/>
      <c r="O15" s="35"/>
      <c r="P15" s="36"/>
      <c r="R15" s="20"/>
      <c r="U15" s="1"/>
      <c r="V15" s="1"/>
      <c r="W15" s="1" t="s">
        <v>40</v>
      </c>
      <c r="X15" s="1"/>
      <c r="Y15" s="1"/>
      <c r="Z15" s="1"/>
      <c r="AA15" s="1"/>
      <c r="AB15" s="1"/>
      <c r="AC15" s="1"/>
    </row>
    <row r="16" spans="1:32" x14ac:dyDescent="0.25">
      <c r="A16">
        <f t="shared" si="0"/>
        <v>50761</v>
      </c>
      <c r="B16">
        <v>12</v>
      </c>
      <c r="C16" t="s">
        <v>13</v>
      </c>
      <c r="D16">
        <v>970</v>
      </c>
      <c r="E16" s="5">
        <v>1621266400</v>
      </c>
      <c r="F16">
        <f t="shared" si="1"/>
        <v>931</v>
      </c>
      <c r="G16" s="35"/>
      <c r="H16" s="36"/>
      <c r="L16" s="35"/>
      <c r="M16" s="36"/>
      <c r="O16" s="35"/>
      <c r="P16" s="36"/>
      <c r="U16" s="1"/>
      <c r="V16" s="1"/>
      <c r="W16" s="1"/>
      <c r="X16" s="1"/>
      <c r="Y16" s="1"/>
      <c r="Z16" s="1"/>
      <c r="AA16" s="1"/>
      <c r="AB16" s="1"/>
      <c r="AC16" s="1"/>
    </row>
    <row r="17" spans="1:32" x14ac:dyDescent="0.25">
      <c r="A17">
        <f t="shared" si="0"/>
        <v>57803</v>
      </c>
      <c r="B17">
        <v>13</v>
      </c>
      <c r="C17" t="s">
        <v>14</v>
      </c>
      <c r="D17">
        <v>730</v>
      </c>
      <c r="E17" s="5">
        <v>1621266400</v>
      </c>
      <c r="F17">
        <f t="shared" si="1"/>
        <v>1217</v>
      </c>
      <c r="G17" s="33" t="s">
        <v>34</v>
      </c>
      <c r="H17" s="34" t="s">
        <v>35</v>
      </c>
      <c r="K17" s="2" t="s">
        <v>33</v>
      </c>
      <c r="L17" s="33" t="s">
        <v>34</v>
      </c>
      <c r="M17" s="34" t="s">
        <v>35</v>
      </c>
      <c r="N17" s="2" t="s">
        <v>28</v>
      </c>
      <c r="O17" s="33" t="s">
        <v>31</v>
      </c>
      <c r="P17" s="34" t="s">
        <v>32</v>
      </c>
      <c r="Q17" s="2" t="s">
        <v>29</v>
      </c>
      <c r="R17" s="2" t="s">
        <v>30</v>
      </c>
      <c r="S17" s="2" t="s">
        <v>31</v>
      </c>
      <c r="T17" s="2" t="s">
        <v>32</v>
      </c>
      <c r="U17" s="2" t="s">
        <v>36</v>
      </c>
      <c r="V17" s="2" t="s">
        <v>37</v>
      </c>
      <c r="W17" s="2" t="s">
        <v>38</v>
      </c>
      <c r="X17" s="2" t="s">
        <v>110</v>
      </c>
      <c r="Y17" s="2" t="s">
        <v>109</v>
      </c>
      <c r="Z17" s="1"/>
      <c r="AA17" s="2"/>
      <c r="AB17" s="1"/>
      <c r="AC17" s="2"/>
      <c r="AE17" s="2"/>
      <c r="AF17" s="2"/>
    </row>
    <row r="18" spans="1:32" x14ac:dyDescent="0.25">
      <c r="A18">
        <f t="shared" si="0"/>
        <v>58858</v>
      </c>
      <c r="B18">
        <v>14</v>
      </c>
      <c r="C18" t="s">
        <v>15</v>
      </c>
      <c r="D18">
        <v>699</v>
      </c>
      <c r="E18" s="5">
        <v>1621266400</v>
      </c>
      <c r="F18">
        <f t="shared" si="1"/>
        <v>1268</v>
      </c>
      <c r="G18" s="38">
        <v>1000</v>
      </c>
      <c r="H18" s="36">
        <v>0</v>
      </c>
      <c r="I18">
        <v>2</v>
      </c>
      <c r="J18">
        <v>2</v>
      </c>
      <c r="K18">
        <v>2</v>
      </c>
      <c r="L18" s="38">
        <v>1000</v>
      </c>
      <c r="M18" s="36">
        <v>0</v>
      </c>
      <c r="N18">
        <f ca="1">MOD(OFFSET(IF(L18&gt;0,D$4,F$4),K18,0),10000)</f>
        <v>500</v>
      </c>
      <c r="O18" s="35">
        <f ca="1">INT($N18*L18/1000)</f>
        <v>500</v>
      </c>
      <c r="P18" s="36">
        <f ca="1">INT($N18*M18/1000)</f>
        <v>0</v>
      </c>
      <c r="Q18">
        <f>L18</f>
        <v>1000</v>
      </c>
      <c r="R18">
        <f>M18</f>
        <v>0</v>
      </c>
      <c r="S18">
        <f ca="1">INT(L18*N18/1000)</f>
        <v>500</v>
      </c>
      <c r="T18">
        <f ca="1">INT(M18*N18/1000)</f>
        <v>0</v>
      </c>
      <c r="U18" s="1">
        <f ca="1">S18-R18</f>
        <v>500</v>
      </c>
      <c r="V18" s="1">
        <f ca="1">T18-Q18</f>
        <v>-1000</v>
      </c>
      <c r="W18" s="1">
        <f ca="1">MAX(0,U18:V18)</f>
        <v>500</v>
      </c>
      <c r="X18" s="1">
        <f ca="1">W18+X13</f>
        <v>1772</v>
      </c>
      <c r="Y18" s="1">
        <f>SUM(L18:M18)+Y13</f>
        <v>9000</v>
      </c>
      <c r="Z18" s="1">
        <f>L18</f>
        <v>1000</v>
      </c>
      <c r="AA18" s="1">
        <v>0</v>
      </c>
      <c r="AB18" s="1">
        <f ca="1">L18+INT(O18)</f>
        <v>1500</v>
      </c>
      <c r="AC18" s="1">
        <v>0</v>
      </c>
    </row>
    <row r="19" spans="1:32" x14ac:dyDescent="0.25">
      <c r="A19">
        <f t="shared" si="0"/>
        <v>53078</v>
      </c>
      <c r="B19">
        <v>15</v>
      </c>
      <c r="C19" t="s">
        <v>16</v>
      </c>
      <c r="D19">
        <v>884</v>
      </c>
      <c r="E19" s="5">
        <v>1621266400</v>
      </c>
      <c r="F19">
        <f t="shared" si="1"/>
        <v>1016</v>
      </c>
      <c r="G19" s="35">
        <v>0</v>
      </c>
      <c r="H19" s="36">
        <v>2000</v>
      </c>
      <c r="I19">
        <v>3</v>
      </c>
      <c r="J19">
        <v>2</v>
      </c>
      <c r="K19">
        <v>2</v>
      </c>
      <c r="L19" s="35">
        <v>0</v>
      </c>
      <c r="M19" s="36">
        <v>2000</v>
      </c>
      <c r="N19">
        <f ca="1">MOD(OFFSET(IF(L19&gt;0,D$4,F$4),K19,0),10000)</f>
        <v>1727</v>
      </c>
      <c r="O19" s="35">
        <f t="shared" ref="O19:P20" ca="1" si="6">INT($N19*L19/1000)</f>
        <v>0</v>
      </c>
      <c r="P19" s="36">
        <f t="shared" ca="1" si="6"/>
        <v>3454</v>
      </c>
      <c r="Q19">
        <f>L19+Q18</f>
        <v>1000</v>
      </c>
      <c r="R19">
        <f>M19+R18</f>
        <v>2000</v>
      </c>
      <c r="S19">
        <f ca="1">INT(L19*N19/1000)+S18</f>
        <v>500</v>
      </c>
      <c r="T19">
        <f ca="1">INT(M19*N19/1000)+T18</f>
        <v>3454</v>
      </c>
      <c r="U19" s="1">
        <f ca="1">S19-R19</f>
        <v>-1500</v>
      </c>
      <c r="V19" s="1">
        <f ca="1">T19-Q19</f>
        <v>2454</v>
      </c>
      <c r="W19" s="1">
        <f t="shared" ref="W19" ca="1" si="7">MAX(0,U19:V19)</f>
        <v>2454</v>
      </c>
      <c r="X19" s="1">
        <f ca="1">X18+(W19-W18)</f>
        <v>3726</v>
      </c>
      <c r="Y19" s="1">
        <f>SUM(L19:M19)+Y18</f>
        <v>11000</v>
      </c>
      <c r="Z19" s="1">
        <v>0</v>
      </c>
      <c r="AA19" s="1">
        <f>M19</f>
        <v>2000</v>
      </c>
      <c r="AB19" s="1">
        <v>0</v>
      </c>
      <c r="AC19" s="1">
        <v>0</v>
      </c>
    </row>
    <row r="20" spans="1:32" x14ac:dyDescent="0.25">
      <c r="A20">
        <f t="shared" si="0"/>
        <v>8680</v>
      </c>
      <c r="B20">
        <v>16</v>
      </c>
      <c r="C20" t="s">
        <v>17</v>
      </c>
      <c r="D20">
        <v>10520</v>
      </c>
      <c r="E20" s="5">
        <v>1621266400</v>
      </c>
      <c r="F20">
        <f t="shared" si="1"/>
        <v>1578</v>
      </c>
      <c r="G20" s="38">
        <v>1000</v>
      </c>
      <c r="H20" s="36">
        <v>0</v>
      </c>
      <c r="I20">
        <v>2</v>
      </c>
      <c r="J20">
        <v>2</v>
      </c>
      <c r="K20">
        <v>2</v>
      </c>
      <c r="L20" s="38">
        <v>1000</v>
      </c>
      <c r="M20" s="36">
        <v>0</v>
      </c>
      <c r="N20">
        <f ca="1">MOD(OFFSET(IF(L20&gt;0,D$4,F$4),K20,0),10000)</f>
        <v>500</v>
      </c>
      <c r="O20" s="35">
        <f t="shared" ca="1" si="6"/>
        <v>500</v>
      </c>
      <c r="P20" s="36">
        <f t="shared" ca="1" si="6"/>
        <v>0</v>
      </c>
      <c r="Q20" s="24">
        <f>L20+Q19</f>
        <v>2000</v>
      </c>
      <c r="R20">
        <f>M20+R19</f>
        <v>2000</v>
      </c>
      <c r="S20">
        <f ca="1">INT(L20*N20/1000)+S19</f>
        <v>1000</v>
      </c>
      <c r="T20">
        <f ca="1">INT(M20*N20/1000)+T19</f>
        <v>3454</v>
      </c>
      <c r="U20" s="1">
        <f ca="1">S20-R20</f>
        <v>-1000</v>
      </c>
      <c r="V20" s="1">
        <f ca="1">T20-Q20</f>
        <v>1454</v>
      </c>
      <c r="W20" s="1">
        <f ca="1">MAX(0,U20:V20)</f>
        <v>1454</v>
      </c>
      <c r="X20" s="1">
        <f ca="1">X19+(W20-W19)</f>
        <v>2726</v>
      </c>
      <c r="Y20" s="1">
        <f>SUM(L20:M20)+Y19</f>
        <v>12000</v>
      </c>
      <c r="Z20" s="1">
        <f>L20</f>
        <v>1000</v>
      </c>
      <c r="AA20" s="1">
        <v>0</v>
      </c>
      <c r="AB20" s="1">
        <f ca="1">L20+INT(O20)</f>
        <v>1500</v>
      </c>
      <c r="AC20" s="1">
        <v>0</v>
      </c>
    </row>
    <row r="21" spans="1:32" x14ac:dyDescent="0.25">
      <c r="A21">
        <f t="shared" si="0"/>
        <v>52603</v>
      </c>
      <c r="B21">
        <v>17</v>
      </c>
      <c r="C21" t="s">
        <v>18</v>
      </c>
      <c r="D21">
        <v>901</v>
      </c>
      <c r="E21" s="5">
        <v>1621266400</v>
      </c>
      <c r="F21">
        <f t="shared" si="1"/>
        <v>998</v>
      </c>
      <c r="G21" s="35"/>
      <c r="H21" s="36"/>
      <c r="L21" s="35"/>
      <c r="M21" s="36"/>
      <c r="O21" s="35"/>
      <c r="P21" s="36"/>
      <c r="U21" s="1"/>
      <c r="V21" s="1"/>
      <c r="W21" s="1"/>
      <c r="X21" s="1">
        <f ca="1">X20-X13</f>
        <v>1454</v>
      </c>
      <c r="Y21" s="1"/>
      <c r="Z21" s="1"/>
      <c r="AA21" s="1"/>
      <c r="AB21" s="1"/>
      <c r="AC21" s="1"/>
    </row>
    <row r="22" spans="1:32" x14ac:dyDescent="0.25">
      <c r="A22">
        <f t="shared" si="0"/>
        <v>61728</v>
      </c>
      <c r="B22">
        <v>18</v>
      </c>
      <c r="C22" t="s">
        <v>19</v>
      </c>
      <c r="D22">
        <v>620</v>
      </c>
      <c r="E22" s="5">
        <v>1621266400</v>
      </c>
      <c r="F22">
        <f t="shared" si="1"/>
        <v>1417</v>
      </c>
      <c r="G22" s="35"/>
      <c r="H22" s="36"/>
      <c r="L22" s="35"/>
      <c r="M22" s="36"/>
      <c r="O22" s="35"/>
      <c r="P22" s="36"/>
      <c r="T22" s="20"/>
      <c r="U22" s="1"/>
      <c r="V22" s="1"/>
      <c r="W22" s="1"/>
      <c r="X22" s="1"/>
      <c r="Y22" s="1"/>
      <c r="Z22" s="1"/>
      <c r="AA22" s="1"/>
      <c r="AB22" s="1"/>
      <c r="AC22" s="1"/>
    </row>
    <row r="23" spans="1:32" x14ac:dyDescent="0.25">
      <c r="A23">
        <f t="shared" si="0"/>
        <v>56689</v>
      </c>
      <c r="B23">
        <v>19</v>
      </c>
      <c r="C23" t="s">
        <v>20</v>
      </c>
      <c r="D23">
        <v>764</v>
      </c>
      <c r="E23" s="5">
        <v>1621266400</v>
      </c>
      <c r="F23">
        <f t="shared" si="1"/>
        <v>1166</v>
      </c>
      <c r="G23" s="35"/>
      <c r="H23" s="36"/>
      <c r="L23" s="35"/>
      <c r="M23" s="36"/>
      <c r="O23" s="35"/>
      <c r="P23" s="36"/>
      <c r="U23" s="1"/>
      <c r="V23" s="1"/>
      <c r="W23" s="2"/>
      <c r="X23" s="1"/>
      <c r="Y23" s="1"/>
      <c r="Z23" s="1"/>
      <c r="AA23" s="1"/>
      <c r="AB23" s="1"/>
      <c r="AC23" s="1"/>
    </row>
    <row r="24" spans="1:32" x14ac:dyDescent="0.25">
      <c r="A24">
        <f t="shared" si="0"/>
        <v>54024</v>
      </c>
      <c r="B24">
        <v>20</v>
      </c>
      <c r="C24" t="s">
        <v>21</v>
      </c>
      <c r="D24">
        <v>851</v>
      </c>
      <c r="E24" s="5">
        <v>1621266400</v>
      </c>
      <c r="F24">
        <f t="shared" si="1"/>
        <v>1053</v>
      </c>
      <c r="G24" s="33" t="s">
        <v>34</v>
      </c>
      <c r="H24" s="34" t="s">
        <v>35</v>
      </c>
      <c r="K24" s="2" t="s">
        <v>33</v>
      </c>
      <c r="L24" s="33" t="s">
        <v>34</v>
      </c>
      <c r="M24" s="34" t="s">
        <v>35</v>
      </c>
      <c r="N24" s="2" t="s">
        <v>28</v>
      </c>
      <c r="O24" s="33" t="s">
        <v>31</v>
      </c>
      <c r="P24" s="34" t="s">
        <v>32</v>
      </c>
      <c r="Q24" s="2" t="s">
        <v>29</v>
      </c>
      <c r="R24" s="2" t="s">
        <v>30</v>
      </c>
      <c r="S24" s="2" t="s">
        <v>31</v>
      </c>
      <c r="T24" s="2" t="s">
        <v>32</v>
      </c>
      <c r="U24" s="2" t="s">
        <v>36</v>
      </c>
      <c r="V24" s="2" t="s">
        <v>37</v>
      </c>
      <c r="W24" s="2" t="s">
        <v>38</v>
      </c>
      <c r="X24" s="2" t="s">
        <v>110</v>
      </c>
      <c r="Y24" s="2" t="s">
        <v>109</v>
      </c>
      <c r="Z24" s="1"/>
      <c r="AA24" s="2"/>
      <c r="AB24" s="1"/>
      <c r="AC24" s="2"/>
      <c r="AE24" s="2"/>
      <c r="AF24" s="2"/>
    </row>
    <row r="25" spans="1:32" x14ac:dyDescent="0.25">
      <c r="A25">
        <f t="shared" si="0"/>
        <v>54945</v>
      </c>
      <c r="B25">
        <v>21</v>
      </c>
      <c r="C25" t="s">
        <v>216</v>
      </c>
      <c r="D25">
        <v>820</v>
      </c>
      <c r="E25" s="5">
        <v>1621266400</v>
      </c>
      <c r="F25">
        <f t="shared" si="1"/>
        <v>1091</v>
      </c>
      <c r="G25" s="38">
        <v>1000</v>
      </c>
      <c r="H25" s="36"/>
      <c r="I25">
        <v>2</v>
      </c>
      <c r="J25">
        <v>1</v>
      </c>
      <c r="K25">
        <v>3</v>
      </c>
      <c r="L25" s="38">
        <v>1000</v>
      </c>
      <c r="M25" s="36"/>
      <c r="N25">
        <f ca="1">MOD(OFFSET(IF(L25&gt;0,D$4,F$4),K25,0),10000)</f>
        <v>919</v>
      </c>
      <c r="O25" s="35">
        <f ca="1">INT($N25*L25/1000)</f>
        <v>919</v>
      </c>
      <c r="P25" s="36">
        <f ca="1">INT($N25*M25/1000)</f>
        <v>0</v>
      </c>
      <c r="Q25">
        <f>L25</f>
        <v>1000</v>
      </c>
      <c r="R25">
        <f>M25</f>
        <v>0</v>
      </c>
      <c r="S25">
        <f ca="1">INT(L25*N25/1000)</f>
        <v>919</v>
      </c>
      <c r="T25">
        <f ca="1">INT(M25*N25/1000)</f>
        <v>0</v>
      </c>
      <c r="U25" s="1">
        <f ca="1">S25-R25</f>
        <v>919</v>
      </c>
      <c r="V25" s="1">
        <f ca="1">T25-Q25</f>
        <v>-1000</v>
      </c>
      <c r="W25" s="1">
        <f ca="1">MAX(0,U25:V25)</f>
        <v>919</v>
      </c>
      <c r="X25" s="1">
        <f ca="1">W25+X20</f>
        <v>3645</v>
      </c>
      <c r="Y25" s="1">
        <f>SUM(L25:M25)+Y20</f>
        <v>13000</v>
      </c>
      <c r="Z25" s="1">
        <f>L25</f>
        <v>1000</v>
      </c>
      <c r="AA25" s="1">
        <v>0</v>
      </c>
      <c r="AB25" s="1">
        <f t="shared" ref="AB25:AC27" si="8">L25</f>
        <v>1000</v>
      </c>
      <c r="AC25" s="1">
        <f t="shared" si="8"/>
        <v>0</v>
      </c>
    </row>
    <row r="26" spans="1:32" x14ac:dyDescent="0.25">
      <c r="A26">
        <f t="shared" si="0"/>
        <v>56497</v>
      </c>
      <c r="B26">
        <v>22</v>
      </c>
      <c r="C26" t="s">
        <v>217</v>
      </c>
      <c r="D26">
        <v>770</v>
      </c>
      <c r="E26" s="5">
        <v>1621266400</v>
      </c>
      <c r="F26">
        <f t="shared" si="1"/>
        <v>1158</v>
      </c>
      <c r="G26" s="38">
        <v>1000</v>
      </c>
      <c r="H26" s="36"/>
      <c r="I26">
        <v>2</v>
      </c>
      <c r="J26">
        <v>1</v>
      </c>
      <c r="K26">
        <v>3</v>
      </c>
      <c r="L26" s="38">
        <v>1000</v>
      </c>
      <c r="M26" s="36"/>
      <c r="N26">
        <f ca="1">MOD(OFFSET(IF(L26&gt;0,D$4,F$4),K26,0),10000)</f>
        <v>919</v>
      </c>
      <c r="O26" s="35">
        <f t="shared" ref="O26:P27" ca="1" si="9">INT($N26*L26/1000)</f>
        <v>919</v>
      </c>
      <c r="P26" s="36">
        <f t="shared" ca="1" si="9"/>
        <v>0</v>
      </c>
      <c r="Q26">
        <f>L26+Q25</f>
        <v>2000</v>
      </c>
      <c r="R26">
        <f>M26+R25</f>
        <v>0</v>
      </c>
      <c r="S26">
        <f ca="1">INT(L26*N26/1000)+S25</f>
        <v>1838</v>
      </c>
      <c r="T26">
        <f ca="1">INT(M26*N26/1000)+T25</f>
        <v>0</v>
      </c>
      <c r="U26" s="1">
        <f ca="1">S26-R26</f>
        <v>1838</v>
      </c>
      <c r="V26" s="1">
        <f ca="1">T26-Q26</f>
        <v>-2000</v>
      </c>
      <c r="W26" s="1">
        <f t="shared" ref="W26" ca="1" si="10">MAX(0,U26:V26)</f>
        <v>1838</v>
      </c>
      <c r="X26" s="1">
        <f ca="1">X25+(W26-W25)</f>
        <v>4564</v>
      </c>
      <c r="Y26" s="1">
        <f>SUM(L26:M26)+Y25</f>
        <v>14000</v>
      </c>
      <c r="Z26" s="1">
        <v>100</v>
      </c>
      <c r="AA26" s="1">
        <f>M26</f>
        <v>0</v>
      </c>
      <c r="AB26" s="1">
        <f t="shared" si="8"/>
        <v>1000</v>
      </c>
      <c r="AC26" s="1">
        <f t="shared" si="8"/>
        <v>0</v>
      </c>
    </row>
    <row r="27" spans="1:32" ht="15.75" thickBot="1" x14ac:dyDescent="0.3">
      <c r="A27">
        <f t="shared" si="0"/>
        <v>55865</v>
      </c>
      <c r="B27">
        <v>23</v>
      </c>
      <c r="C27" t="s">
        <v>218</v>
      </c>
      <c r="D27">
        <v>790</v>
      </c>
      <c r="E27" s="5">
        <v>1621266400</v>
      </c>
      <c r="F27">
        <f t="shared" si="1"/>
        <v>1130</v>
      </c>
      <c r="G27" s="39"/>
      <c r="H27" s="40">
        <v>1000</v>
      </c>
      <c r="I27">
        <v>3</v>
      </c>
      <c r="J27">
        <v>1</v>
      </c>
      <c r="K27">
        <v>3</v>
      </c>
      <c r="L27" s="39"/>
      <c r="M27" s="40">
        <v>1000</v>
      </c>
      <c r="N27">
        <f ca="1">MOD(OFFSET(IF(L27&gt;0,D$4,F$4),K27,0),10000)</f>
        <v>979</v>
      </c>
      <c r="O27" s="39">
        <f t="shared" ca="1" si="9"/>
        <v>0</v>
      </c>
      <c r="P27" s="41">
        <f t="shared" ca="1" si="9"/>
        <v>979</v>
      </c>
      <c r="Q27" s="25">
        <f>L27+Q26</f>
        <v>2000</v>
      </c>
      <c r="R27" s="25">
        <f>M27+R26</f>
        <v>1000</v>
      </c>
      <c r="S27">
        <f ca="1">INT(L27*N27/1000)+S26</f>
        <v>1838</v>
      </c>
      <c r="T27">
        <f ca="1">INT(M27*N27/1000)+T26</f>
        <v>979</v>
      </c>
      <c r="U27" s="1">
        <f ca="1">S27-R27</f>
        <v>838</v>
      </c>
      <c r="V27" s="1">
        <f ca="1">T27-Q27</f>
        <v>-1021</v>
      </c>
      <c r="W27" s="1">
        <f ca="1">MAX(0,U27:V27)</f>
        <v>838</v>
      </c>
      <c r="X27" s="1">
        <f ca="1">X26+(W27-W26)</f>
        <v>3564</v>
      </c>
      <c r="Y27" s="1">
        <f>SUM(L27:M27)+Y26</f>
        <v>15000</v>
      </c>
      <c r="Z27" s="1">
        <f>L27</f>
        <v>0</v>
      </c>
      <c r="AA27" s="1">
        <f>M27</f>
        <v>1000</v>
      </c>
      <c r="AB27" s="1">
        <f t="shared" si="8"/>
        <v>0</v>
      </c>
      <c r="AC27" s="1">
        <f t="shared" si="8"/>
        <v>1000</v>
      </c>
    </row>
    <row r="28" spans="1:32" x14ac:dyDescent="0.25">
      <c r="A28">
        <f t="shared" si="0"/>
        <v>57803</v>
      </c>
      <c r="B28">
        <v>24</v>
      </c>
      <c r="C28" t="s">
        <v>219</v>
      </c>
      <c r="D28">
        <v>730</v>
      </c>
      <c r="E28" s="5">
        <v>1621266400</v>
      </c>
      <c r="F28">
        <f t="shared" si="1"/>
        <v>1217</v>
      </c>
      <c r="U28" s="1"/>
      <c r="V28" s="1"/>
      <c r="W28" s="1"/>
      <c r="X28" s="1"/>
      <c r="Y28" s="1"/>
      <c r="AA28" s="6"/>
      <c r="AC28" s="6"/>
    </row>
    <row r="29" spans="1:32" x14ac:dyDescent="0.25">
      <c r="A29">
        <f t="shared" si="0"/>
        <v>59171</v>
      </c>
      <c r="B29">
        <v>25</v>
      </c>
      <c r="C29" t="s">
        <v>220</v>
      </c>
      <c r="D29">
        <v>690</v>
      </c>
      <c r="E29" s="5">
        <v>1621266400</v>
      </c>
      <c r="F29">
        <f t="shared" si="1"/>
        <v>1283</v>
      </c>
      <c r="V29" t="s">
        <v>77</v>
      </c>
      <c r="X29" s="6"/>
      <c r="Y29" s="1"/>
      <c r="Z29" s="1">
        <f>SUM(Z4:Z27)</f>
        <v>7100</v>
      </c>
      <c r="AA29" s="1">
        <f>SUM(AA4:AA27)</f>
        <v>7000</v>
      </c>
      <c r="AB29" s="1">
        <f ca="1">SUM(AB4:AB27)</f>
        <v>5000</v>
      </c>
      <c r="AC29" s="1">
        <f ca="1">SUM(AC4:AC27)</f>
        <v>10082</v>
      </c>
    </row>
    <row r="30" spans="1:32" x14ac:dyDescent="0.25">
      <c r="A30">
        <f t="shared" si="0"/>
        <v>50761</v>
      </c>
      <c r="B30">
        <v>26</v>
      </c>
      <c r="C30" t="s">
        <v>221</v>
      </c>
      <c r="D30">
        <v>970</v>
      </c>
      <c r="E30" s="5">
        <v>1621266400</v>
      </c>
      <c r="F30">
        <f t="shared" si="1"/>
        <v>931</v>
      </c>
      <c r="L30" s="4"/>
      <c r="R30" t="s">
        <v>128</v>
      </c>
      <c r="V30" s="2" t="s">
        <v>33</v>
      </c>
      <c r="W30" s="2" t="s">
        <v>78</v>
      </c>
      <c r="X30" s="6"/>
      <c r="Y30" s="6"/>
      <c r="Z30" s="6"/>
      <c r="AA30" s="6"/>
      <c r="AB30" s="6"/>
    </row>
    <row r="31" spans="1:32" x14ac:dyDescent="0.25">
      <c r="A31">
        <f t="shared" si="0"/>
        <v>56818</v>
      </c>
      <c r="B31">
        <v>27</v>
      </c>
      <c r="C31" t="s">
        <v>226</v>
      </c>
      <c r="D31">
        <v>760</v>
      </c>
      <c r="E31" s="5">
        <v>1621266400</v>
      </c>
      <c r="F31">
        <f t="shared" si="1"/>
        <v>1172</v>
      </c>
      <c r="L31" s="4"/>
      <c r="M31" s="2"/>
      <c r="N31" s="2"/>
      <c r="O31" s="2"/>
      <c r="P31" s="2"/>
      <c r="Q31" s="2"/>
      <c r="R31" t="s">
        <v>126</v>
      </c>
      <c r="S31" s="7">
        <v>10000</v>
      </c>
      <c r="T31" s="7"/>
      <c r="U31" s="7"/>
      <c r="V31" s="2">
        <v>0</v>
      </c>
      <c r="W31">
        <v>0</v>
      </c>
      <c r="Z31" s="4">
        <f>Z29+AA29</f>
        <v>14100</v>
      </c>
      <c r="AA31" s="4"/>
      <c r="AB31" s="4">
        <f ca="1">AB29+AC29</f>
        <v>15082</v>
      </c>
      <c r="AE31" s="2"/>
      <c r="AF31" s="2"/>
    </row>
    <row r="32" spans="1:32" x14ac:dyDescent="0.25">
      <c r="A32">
        <f t="shared" si="0"/>
        <v>52110</v>
      </c>
      <c r="B32">
        <v>28</v>
      </c>
      <c r="C32" t="s">
        <v>222</v>
      </c>
      <c r="D32">
        <v>919</v>
      </c>
      <c r="E32" s="5">
        <v>1621266400</v>
      </c>
      <c r="F32">
        <f t="shared" si="1"/>
        <v>979</v>
      </c>
      <c r="N32" s="1"/>
      <c r="O32" s="1"/>
      <c r="P32" s="1"/>
      <c r="Q32" s="1"/>
      <c r="R32" t="s">
        <v>127</v>
      </c>
      <c r="S32" s="6">
        <v>10000</v>
      </c>
      <c r="T32" s="6"/>
      <c r="U32" s="6"/>
      <c r="V32" s="2">
        <v>1</v>
      </c>
      <c r="W32">
        <v>0</v>
      </c>
      <c r="Z32" s="4"/>
      <c r="AA32" s="4"/>
      <c r="AB32" s="4"/>
    </row>
    <row r="33" spans="1:29" x14ac:dyDescent="0.25">
      <c r="A33">
        <f t="shared" si="0"/>
        <v>58139</v>
      </c>
      <c r="B33">
        <v>29</v>
      </c>
      <c r="C33" t="s">
        <v>223</v>
      </c>
      <c r="D33">
        <v>720</v>
      </c>
      <c r="E33" s="5">
        <v>1621266400</v>
      </c>
      <c r="F33">
        <f t="shared" si="1"/>
        <v>1233</v>
      </c>
      <c r="N33" s="1"/>
      <c r="O33" s="1"/>
      <c r="P33" s="1"/>
      <c r="Q33" s="1"/>
      <c r="R33" s="1"/>
      <c r="U33" s="6"/>
      <c r="V33" s="2">
        <v>2</v>
      </c>
      <c r="W33" s="2" t="s">
        <v>79</v>
      </c>
      <c r="AB33" s="6"/>
    </row>
    <row r="34" spans="1:29" x14ac:dyDescent="0.25">
      <c r="A34">
        <f t="shared" si="0"/>
        <v>59808</v>
      </c>
      <c r="B34">
        <v>30</v>
      </c>
      <c r="C34" t="s">
        <v>224</v>
      </c>
      <c r="D34">
        <v>672</v>
      </c>
      <c r="E34" s="5">
        <v>1621266400</v>
      </c>
      <c r="F34">
        <f t="shared" si="1"/>
        <v>1315</v>
      </c>
      <c r="N34" s="1"/>
      <c r="O34" s="1"/>
      <c r="P34" s="1"/>
      <c r="Q34" s="1"/>
      <c r="S34" s="6"/>
      <c r="T34" s="6"/>
      <c r="U34" s="6"/>
      <c r="V34" s="2">
        <v>3</v>
      </c>
      <c r="W34" s="2">
        <v>1</v>
      </c>
      <c r="AB34" s="6"/>
    </row>
    <row r="35" spans="1:29" ht="15.75" thickBot="1" x14ac:dyDescent="0.3">
      <c r="A35">
        <f t="shared" si="0"/>
        <v>55555</v>
      </c>
      <c r="B35">
        <v>31</v>
      </c>
      <c r="C35" t="s">
        <v>225</v>
      </c>
      <c r="D35">
        <v>800</v>
      </c>
      <c r="E35" s="5">
        <v>1621266400</v>
      </c>
      <c r="F35">
        <f t="shared" si="1"/>
        <v>1117</v>
      </c>
      <c r="N35" s="1"/>
      <c r="O35" s="1"/>
      <c r="P35" s="1"/>
      <c r="Q35" s="1"/>
      <c r="S35" t="s">
        <v>117</v>
      </c>
      <c r="T35" s="2" t="s">
        <v>46</v>
      </c>
      <c r="U35" s="2" t="s">
        <v>47</v>
      </c>
      <c r="AB35" s="6"/>
    </row>
    <row r="36" spans="1:29" x14ac:dyDescent="0.25">
      <c r="N36" s="1"/>
      <c r="O36" s="1"/>
      <c r="P36" s="1"/>
      <c r="Q36" s="1"/>
      <c r="R36" s="1" t="s">
        <v>112</v>
      </c>
      <c r="S36" s="79">
        <v>30000</v>
      </c>
      <c r="T36" s="42">
        <v>30000</v>
      </c>
      <c r="U36" s="124">
        <f ca="1">(T36+T38-N38)/10000</f>
        <v>3.2023000000000001</v>
      </c>
      <c r="V36" t="s">
        <v>48</v>
      </c>
    </row>
    <row r="37" spans="1:29" x14ac:dyDescent="0.25">
      <c r="O37" s="1"/>
      <c r="P37" s="1"/>
      <c r="Q37" s="1"/>
      <c r="R37" s="1" t="s">
        <v>110</v>
      </c>
      <c r="S37" s="80">
        <f ca="1">W27+W20+W13</f>
        <v>3564</v>
      </c>
      <c r="T37" s="43">
        <f ca="1">X27</f>
        <v>3564</v>
      </c>
      <c r="U37" s="126">
        <v>0</v>
      </c>
      <c r="V37" t="s">
        <v>82</v>
      </c>
      <c r="AB37" s="7"/>
      <c r="AC37" s="7"/>
    </row>
    <row r="38" spans="1:29" x14ac:dyDescent="0.25">
      <c r="M38" s="12" t="s">
        <v>160</v>
      </c>
      <c r="N38" s="4">
        <f ca="1">$Q$6+$S$6+$Q$13+$S$13+$Q$20+R20+T27+$R$27</f>
        <v>12977</v>
      </c>
      <c r="P38" s="4"/>
      <c r="Q38" s="1"/>
      <c r="R38" s="1" t="s">
        <v>109</v>
      </c>
      <c r="S38" s="81">
        <f>SUM(L4:M27)</f>
        <v>15000</v>
      </c>
      <c r="T38" s="43">
        <f>SUM(L4:M28)</f>
        <v>15000</v>
      </c>
      <c r="U38" s="126">
        <v>0</v>
      </c>
      <c r="V38" t="s">
        <v>82</v>
      </c>
      <c r="AB38" s="6"/>
      <c r="AC38" s="6"/>
    </row>
    <row r="39" spans="1:29" x14ac:dyDescent="0.25">
      <c r="D39" s="1"/>
      <c r="M39" s="12" t="s">
        <v>159</v>
      </c>
      <c r="N39" s="4">
        <f ca="1">+$S$6+$S$13+T27</f>
        <v>3977</v>
      </c>
      <c r="O39" s="1"/>
      <c r="P39" s="1"/>
      <c r="Q39" s="1"/>
      <c r="R39" s="1" t="s">
        <v>81</v>
      </c>
      <c r="S39" s="98">
        <v>0</v>
      </c>
      <c r="T39" s="96">
        <v>0</v>
      </c>
      <c r="U39" s="127">
        <f ca="1">(S6+S13+T27)*0.05/10000</f>
        <v>1.9885000000000003E-2</v>
      </c>
      <c r="AC39" s="6"/>
    </row>
    <row r="40" spans="1:29" ht="15.75" thickBot="1" x14ac:dyDescent="0.3">
      <c r="M40" s="12" t="s">
        <v>41</v>
      </c>
      <c r="N40" s="8">
        <f ca="1">0.05*N39</f>
        <v>198.85000000000002</v>
      </c>
      <c r="O40" s="1"/>
      <c r="P40" s="1"/>
      <c r="Q40" s="1"/>
      <c r="R40" s="1" t="s">
        <v>120</v>
      </c>
      <c r="S40" s="99"/>
      <c r="T40" s="97">
        <v>50000</v>
      </c>
      <c r="U40" s="128">
        <f ca="1">T40/10000-N40/10000</f>
        <v>4.9801149999999996</v>
      </c>
      <c r="AB40" s="6"/>
      <c r="AC40" s="6"/>
    </row>
    <row r="41" spans="1:29" x14ac:dyDescent="0.25">
      <c r="N41" s="15">
        <f ca="1">N39+N40</f>
        <v>4175.8500000000004</v>
      </c>
      <c r="P41" s="26"/>
      <c r="Q41" s="1"/>
      <c r="R41" s="1" t="s">
        <v>122</v>
      </c>
      <c r="U41" s="17">
        <f ca="1">(INT(0.95*(O4))+INT(0.95*O6)+INT(0.95*O11)+INT(0.95*O13)-L25-L26+S31)/10000</f>
        <v>1.0848</v>
      </c>
    </row>
    <row r="42" spans="1:29" x14ac:dyDescent="0.25">
      <c r="E42" s="30"/>
      <c r="R42" s="1" t="s">
        <v>161</v>
      </c>
      <c r="U42" s="17">
        <f ca="1">((P27)*0.95-M5-M12+S32)/10000</f>
        <v>0.69300499999999998</v>
      </c>
    </row>
    <row r="43" spans="1:29" x14ac:dyDescent="0.25">
      <c r="E43" s="29"/>
      <c r="U43" s="50"/>
    </row>
    <row r="45" spans="1:29" x14ac:dyDescent="0.25">
      <c r="D45" s="4"/>
      <c r="U45" s="15"/>
    </row>
    <row r="47" spans="1:29" x14ac:dyDescent="0.25">
      <c r="E47" s="27"/>
    </row>
    <row r="48" spans="1:29" x14ac:dyDescent="0.25">
      <c r="E48" s="27"/>
    </row>
    <row r="49" spans="5:5" x14ac:dyDescent="0.25">
      <c r="E49" s="27"/>
    </row>
  </sheetData>
  <mergeCells count="2">
    <mergeCell ref="Z2:AA2"/>
    <mergeCell ref="AB2:AC2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E7C398-9796-4573-B682-62701181A4C0}">
  <sheetPr codeName="Sheet2"/>
  <dimension ref="A2:AA45"/>
  <sheetViews>
    <sheetView zoomScale="75" zoomScaleNormal="75" workbookViewId="0">
      <selection activeCell="H23" sqref="H23"/>
    </sheetView>
  </sheetViews>
  <sheetFormatPr defaultRowHeight="15" x14ac:dyDescent="0.25"/>
  <cols>
    <col min="2" max="2" width="27.140625" bestFit="1" customWidth="1"/>
    <col min="3" max="3" width="17.42578125" customWidth="1"/>
    <col min="4" max="4" width="16.85546875" bestFit="1" customWidth="1"/>
    <col min="5" max="5" width="13.28515625" customWidth="1"/>
    <col min="6" max="6" width="9.140625" customWidth="1"/>
    <col min="9" max="9" width="15.5703125" customWidth="1"/>
    <col min="10" max="10" width="11.42578125" bestFit="1" customWidth="1"/>
    <col min="11" max="12" width="16.7109375" customWidth="1"/>
    <col min="13" max="13" width="13.28515625" customWidth="1"/>
    <col min="14" max="14" width="21.28515625" customWidth="1"/>
    <col min="15" max="15" width="16.85546875" customWidth="1"/>
    <col min="16" max="16" width="24.7109375" bestFit="1" customWidth="1"/>
    <col min="17" max="17" width="15" customWidth="1"/>
    <col min="18" max="18" width="17.42578125" customWidth="1"/>
    <col min="19" max="19" width="17.140625" customWidth="1"/>
    <col min="20" max="20" width="12.7109375" customWidth="1"/>
    <col min="21" max="21" width="11.28515625" customWidth="1"/>
    <col min="22" max="22" width="12.140625" customWidth="1"/>
    <col min="23" max="23" width="14.7109375" customWidth="1"/>
    <col min="24" max="24" width="11" customWidth="1"/>
    <col min="26" max="28" width="10.28515625" bestFit="1" customWidth="1"/>
    <col min="29" max="31" width="11.42578125" customWidth="1"/>
    <col min="32" max="37" width="12" customWidth="1"/>
    <col min="38" max="38" width="12" bestFit="1" customWidth="1"/>
    <col min="39" max="39" width="12.5703125" bestFit="1" customWidth="1"/>
    <col min="40" max="40" width="11.42578125" customWidth="1"/>
    <col min="46" max="46" width="12" bestFit="1" customWidth="1"/>
    <col min="48" max="48" width="10.5703125" bestFit="1" customWidth="1"/>
    <col min="54" max="54" width="12" bestFit="1" customWidth="1"/>
    <col min="56" max="56" width="10.5703125" bestFit="1" customWidth="1"/>
  </cols>
  <sheetData>
    <row r="2" spans="1:27" x14ac:dyDescent="0.25">
      <c r="R2" s="2"/>
    </row>
    <row r="3" spans="1:27" x14ac:dyDescent="0.25">
      <c r="D3" t="s">
        <v>49</v>
      </c>
      <c r="I3" s="2" t="s">
        <v>34</v>
      </c>
      <c r="J3" s="2"/>
      <c r="K3" s="2" t="s">
        <v>28</v>
      </c>
      <c r="L3" s="2"/>
      <c r="M3" s="2"/>
      <c r="N3" s="2" t="s">
        <v>31</v>
      </c>
      <c r="O3" s="2"/>
      <c r="P3" s="2"/>
      <c r="Q3" s="2"/>
      <c r="R3" s="2"/>
      <c r="S3" s="2"/>
      <c r="T3" s="2"/>
      <c r="U3" s="2"/>
      <c r="V3" s="2"/>
      <c r="W3" s="2"/>
      <c r="Z3" s="2"/>
      <c r="AA3" s="2"/>
    </row>
    <row r="4" spans="1:27" ht="15.75" x14ac:dyDescent="0.25">
      <c r="A4">
        <v>0</v>
      </c>
      <c r="B4" t="s">
        <v>1</v>
      </c>
      <c r="C4" s="93">
        <v>999</v>
      </c>
      <c r="D4" s="93">
        <v>800</v>
      </c>
      <c r="E4">
        <f>INT(INT(1000000/(MOD(C4,10000)+50))*IF(C4&gt;10000,0.9,0.95))</f>
        <v>905</v>
      </c>
      <c r="F4" s="101">
        <v>900</v>
      </c>
      <c r="I4">
        <v>1000</v>
      </c>
      <c r="K4">
        <v>999</v>
      </c>
      <c r="N4">
        <f>INT(I4*K4/1000)</f>
        <v>999</v>
      </c>
      <c r="P4" s="6"/>
      <c r="Q4" s="6"/>
      <c r="R4" s="1"/>
      <c r="S4" s="1"/>
      <c r="T4" s="1"/>
      <c r="U4" s="6"/>
      <c r="V4" s="6"/>
      <c r="W4" s="6"/>
      <c r="X4" s="6"/>
    </row>
    <row r="5" spans="1:27" ht="16.5" thickBot="1" x14ac:dyDescent="0.3">
      <c r="A5">
        <v>1</v>
      </c>
      <c r="B5" t="s">
        <v>17</v>
      </c>
      <c r="C5">
        <v>10500</v>
      </c>
      <c r="E5">
        <f t="shared" ref="E5:E35" si="0">INT(INT(1000000/(MOD(C5,10000)+50))*IF(C5&gt;10000,0.9,0.95))</f>
        <v>1636</v>
      </c>
      <c r="F5" s="101">
        <v>901</v>
      </c>
      <c r="I5">
        <v>1000</v>
      </c>
      <c r="K5" s="22">
        <v>800</v>
      </c>
      <c r="N5">
        <f>INT(I5*K5/1000)</f>
        <v>800</v>
      </c>
      <c r="P5" s="6"/>
      <c r="Q5" s="6"/>
      <c r="R5" s="1"/>
      <c r="S5" s="1"/>
      <c r="T5" s="1"/>
      <c r="U5" s="6"/>
      <c r="V5" s="6"/>
      <c r="W5" s="6"/>
      <c r="X5" s="6"/>
    </row>
    <row r="6" spans="1:27" ht="16.5" thickBot="1" x14ac:dyDescent="0.3">
      <c r="A6">
        <v>2</v>
      </c>
      <c r="B6" t="s">
        <v>3</v>
      </c>
      <c r="C6">
        <v>500</v>
      </c>
      <c r="E6">
        <f t="shared" si="0"/>
        <v>1727</v>
      </c>
      <c r="F6" s="101">
        <v>902</v>
      </c>
      <c r="K6" s="90">
        <v>3000</v>
      </c>
      <c r="L6" s="91">
        <f>K6+T5-K14</f>
        <v>3000</v>
      </c>
      <c r="N6">
        <f>SUM(N4:N5)</f>
        <v>1799</v>
      </c>
      <c r="P6" s="6"/>
      <c r="Q6" s="6"/>
      <c r="R6" s="1"/>
      <c r="S6" s="1"/>
      <c r="T6" s="1"/>
      <c r="U6" s="6"/>
      <c r="V6" s="6"/>
      <c r="W6" s="6"/>
      <c r="X6" s="6"/>
    </row>
    <row r="7" spans="1:27" ht="15.75" x14ac:dyDescent="0.25">
      <c r="A7">
        <v>3</v>
      </c>
      <c r="B7" t="s">
        <v>4</v>
      </c>
      <c r="C7">
        <v>919</v>
      </c>
      <c r="E7">
        <f t="shared" si="0"/>
        <v>979</v>
      </c>
      <c r="F7" s="101">
        <v>903</v>
      </c>
      <c r="K7" t="s">
        <v>123</v>
      </c>
      <c r="L7" s="4">
        <v>10000</v>
      </c>
      <c r="M7" s="86">
        <v>9000</v>
      </c>
      <c r="N7" s="129">
        <f>(M7+INT(0.95*K4)+I4)/10000</f>
        <v>1.0949</v>
      </c>
      <c r="S7" s="6"/>
      <c r="T7" s="6"/>
      <c r="U7" s="6"/>
      <c r="V7" s="6"/>
      <c r="W7" s="6"/>
      <c r="X7" s="6"/>
    </row>
    <row r="8" spans="1:27" ht="15.75" x14ac:dyDescent="0.25">
      <c r="A8">
        <v>4</v>
      </c>
      <c r="B8" t="s">
        <v>5</v>
      </c>
      <c r="C8">
        <v>909</v>
      </c>
      <c r="E8">
        <f t="shared" si="0"/>
        <v>989</v>
      </c>
      <c r="F8" s="101">
        <v>904</v>
      </c>
      <c r="K8" t="s">
        <v>124</v>
      </c>
      <c r="L8" s="4">
        <v>10000</v>
      </c>
      <c r="M8" s="87">
        <v>9000</v>
      </c>
      <c r="N8" s="130">
        <f>(M8+INT(0.95*K5)+I5)/10000</f>
        <v>1.0760000000000001</v>
      </c>
      <c r="P8" s="6"/>
      <c r="Q8" s="6"/>
      <c r="R8" s="6"/>
      <c r="S8" s="6"/>
      <c r="T8" s="1"/>
      <c r="U8" s="6"/>
      <c r="V8" s="6"/>
      <c r="W8" s="6"/>
      <c r="X8" s="6"/>
    </row>
    <row r="9" spans="1:27" ht="15.75" x14ac:dyDescent="0.25">
      <c r="A9">
        <v>5</v>
      </c>
      <c r="B9" t="s">
        <v>6</v>
      </c>
      <c r="C9">
        <v>800</v>
      </c>
      <c r="E9">
        <f t="shared" si="0"/>
        <v>1117</v>
      </c>
      <c r="F9" s="101">
        <v>905</v>
      </c>
      <c r="K9" t="s">
        <v>129</v>
      </c>
      <c r="M9" s="87">
        <f>I4+I5</f>
        <v>2000</v>
      </c>
      <c r="N9" s="131"/>
      <c r="Q9" s="6"/>
      <c r="R9" s="6"/>
      <c r="S9" s="6"/>
      <c r="T9" s="1"/>
      <c r="U9" s="6"/>
      <c r="V9" s="6"/>
      <c r="W9" s="6"/>
      <c r="X9" s="6"/>
    </row>
    <row r="10" spans="1:27" ht="15.75" x14ac:dyDescent="0.25">
      <c r="A10">
        <v>6</v>
      </c>
      <c r="B10" t="s">
        <v>7</v>
      </c>
      <c r="C10">
        <v>510</v>
      </c>
      <c r="E10">
        <f t="shared" si="0"/>
        <v>1695</v>
      </c>
      <c r="F10" s="101">
        <v>906</v>
      </c>
      <c r="K10" t="s">
        <v>110</v>
      </c>
      <c r="M10" s="87">
        <f>N4+N5</f>
        <v>1799</v>
      </c>
      <c r="N10" s="131"/>
      <c r="Q10" s="19"/>
      <c r="R10" s="7"/>
      <c r="S10" s="6"/>
      <c r="T10" s="1"/>
      <c r="X10" s="6"/>
      <c r="Z10" s="2"/>
      <c r="AA10" s="2"/>
    </row>
    <row r="11" spans="1:27" ht="15.75" x14ac:dyDescent="0.25">
      <c r="A11">
        <v>7</v>
      </c>
      <c r="B11" t="s">
        <v>8</v>
      </c>
      <c r="C11">
        <v>739</v>
      </c>
      <c r="E11">
        <f t="shared" si="0"/>
        <v>1203</v>
      </c>
      <c r="F11" s="101">
        <v>739</v>
      </c>
      <c r="I11" s="9"/>
      <c r="K11" s="1" t="s">
        <v>81</v>
      </c>
      <c r="L11">
        <v>0</v>
      </c>
      <c r="M11" s="88">
        <v>0</v>
      </c>
      <c r="N11" s="133">
        <f>0.05*(N4+N5)/10000</f>
        <v>8.9949999999999995E-3</v>
      </c>
      <c r="P11" s="2"/>
      <c r="Q11" s="19"/>
      <c r="R11" s="3"/>
      <c r="X11" s="6"/>
    </row>
    <row r="12" spans="1:27" ht="16.5" thickBot="1" x14ac:dyDescent="0.3">
      <c r="A12">
        <v>8</v>
      </c>
      <c r="B12" t="s">
        <v>9</v>
      </c>
      <c r="C12">
        <v>620</v>
      </c>
      <c r="E12">
        <f t="shared" si="0"/>
        <v>1417</v>
      </c>
      <c r="F12" s="101">
        <v>620</v>
      </c>
      <c r="H12" s="2"/>
      <c r="I12" s="9"/>
      <c r="K12" s="1" t="s">
        <v>125</v>
      </c>
      <c r="L12" s="4">
        <v>30000</v>
      </c>
      <c r="M12" s="89">
        <v>30000</v>
      </c>
      <c r="N12" s="132">
        <f>(M12-N4-N5)/10000</f>
        <v>2.8201000000000001</v>
      </c>
      <c r="X12" s="6"/>
    </row>
    <row r="13" spans="1:27" ht="15.75" x14ac:dyDescent="0.25">
      <c r="A13">
        <v>9</v>
      </c>
      <c r="B13" t="s">
        <v>10</v>
      </c>
      <c r="C13">
        <v>960</v>
      </c>
      <c r="E13">
        <f t="shared" si="0"/>
        <v>940</v>
      </c>
      <c r="F13" s="101">
        <v>960</v>
      </c>
      <c r="I13" s="1"/>
      <c r="K13" s="1"/>
      <c r="L13" s="1"/>
      <c r="X13" s="6"/>
    </row>
    <row r="14" spans="1:27" ht="15.75" x14ac:dyDescent="0.25">
      <c r="A14">
        <v>10</v>
      </c>
      <c r="B14" t="s">
        <v>11</v>
      </c>
      <c r="C14">
        <v>650</v>
      </c>
      <c r="E14">
        <f t="shared" si="0"/>
        <v>1356</v>
      </c>
      <c r="F14" s="101">
        <v>650</v>
      </c>
      <c r="I14" s="1"/>
      <c r="K14" s="18"/>
      <c r="N14" s="26"/>
      <c r="X14" s="6"/>
    </row>
    <row r="15" spans="1:27" ht="15.75" x14ac:dyDescent="0.25">
      <c r="A15">
        <v>11</v>
      </c>
      <c r="B15" t="s">
        <v>12</v>
      </c>
      <c r="C15">
        <v>688</v>
      </c>
      <c r="E15">
        <f t="shared" si="0"/>
        <v>1287</v>
      </c>
      <c r="F15" s="101">
        <v>688</v>
      </c>
      <c r="I15" s="1"/>
      <c r="K15" s="18" t="s">
        <v>130</v>
      </c>
      <c r="M15">
        <v>5000</v>
      </c>
      <c r="N15" s="123">
        <f>(M15-N11)/10000</f>
        <v>0.49999910049999996</v>
      </c>
      <c r="X15" s="6"/>
    </row>
    <row r="16" spans="1:27" ht="15.75" x14ac:dyDescent="0.25">
      <c r="A16">
        <v>12</v>
      </c>
      <c r="B16" t="s">
        <v>13</v>
      </c>
      <c r="C16">
        <v>970</v>
      </c>
      <c r="E16">
        <f t="shared" si="0"/>
        <v>931</v>
      </c>
      <c r="F16" s="101">
        <v>970</v>
      </c>
      <c r="I16" s="1"/>
      <c r="X16" s="6"/>
    </row>
    <row r="17" spans="1:27" ht="15.75" x14ac:dyDescent="0.25">
      <c r="A17">
        <v>13</v>
      </c>
      <c r="B17" t="s">
        <v>14</v>
      </c>
      <c r="C17">
        <v>730</v>
      </c>
      <c r="E17">
        <f t="shared" si="0"/>
        <v>1217</v>
      </c>
      <c r="F17" s="101">
        <v>730</v>
      </c>
      <c r="I17" s="1"/>
      <c r="X17" s="6"/>
      <c r="Z17" s="2"/>
      <c r="AA17" s="2"/>
    </row>
    <row r="18" spans="1:27" ht="15.75" x14ac:dyDescent="0.25">
      <c r="A18">
        <v>14</v>
      </c>
      <c r="B18" t="s">
        <v>15</v>
      </c>
      <c r="C18">
        <v>699</v>
      </c>
      <c r="E18">
        <f t="shared" si="0"/>
        <v>1268</v>
      </c>
      <c r="F18" s="101">
        <v>699</v>
      </c>
      <c r="N18" s="26"/>
      <c r="X18" s="6"/>
    </row>
    <row r="19" spans="1:27" ht="15.75" x14ac:dyDescent="0.25">
      <c r="A19">
        <v>15</v>
      </c>
      <c r="B19" t="s">
        <v>16</v>
      </c>
      <c r="C19">
        <v>884</v>
      </c>
      <c r="E19">
        <f t="shared" si="0"/>
        <v>1016</v>
      </c>
      <c r="F19" s="101">
        <v>884</v>
      </c>
      <c r="X19" s="6"/>
    </row>
    <row r="20" spans="1:27" ht="15.75" x14ac:dyDescent="0.25">
      <c r="A20">
        <v>16</v>
      </c>
      <c r="B20" t="s">
        <v>17</v>
      </c>
      <c r="C20">
        <v>10520</v>
      </c>
      <c r="E20">
        <f t="shared" si="0"/>
        <v>1578</v>
      </c>
      <c r="F20" s="101">
        <v>520</v>
      </c>
      <c r="X20" s="6"/>
    </row>
    <row r="21" spans="1:27" ht="15.75" x14ac:dyDescent="0.25">
      <c r="A21">
        <v>17</v>
      </c>
      <c r="B21" t="s">
        <v>18</v>
      </c>
      <c r="C21">
        <v>901</v>
      </c>
      <c r="E21">
        <f t="shared" si="0"/>
        <v>998</v>
      </c>
      <c r="F21" s="101">
        <v>901</v>
      </c>
      <c r="X21" s="6"/>
    </row>
    <row r="22" spans="1:27" ht="15.75" x14ac:dyDescent="0.25">
      <c r="A22">
        <v>18</v>
      </c>
      <c r="B22" t="s">
        <v>19</v>
      </c>
      <c r="C22">
        <v>620</v>
      </c>
      <c r="E22">
        <f t="shared" si="0"/>
        <v>1417</v>
      </c>
      <c r="F22" s="101">
        <v>620</v>
      </c>
      <c r="L22" s="3"/>
      <c r="X22" s="6"/>
    </row>
    <row r="23" spans="1:27" ht="15.75" x14ac:dyDescent="0.25">
      <c r="A23">
        <v>19</v>
      </c>
      <c r="B23" t="s">
        <v>20</v>
      </c>
      <c r="C23">
        <v>764</v>
      </c>
      <c r="E23">
        <f t="shared" si="0"/>
        <v>1166</v>
      </c>
      <c r="F23" s="101">
        <v>764</v>
      </c>
      <c r="L23" s="3"/>
    </row>
    <row r="24" spans="1:27" ht="15.75" x14ac:dyDescent="0.25">
      <c r="A24">
        <v>20</v>
      </c>
      <c r="B24" t="s">
        <v>21</v>
      </c>
      <c r="C24">
        <v>851</v>
      </c>
      <c r="E24">
        <f t="shared" si="0"/>
        <v>1053</v>
      </c>
      <c r="F24" s="101">
        <v>851</v>
      </c>
    </row>
    <row r="25" spans="1:27" ht="15.75" x14ac:dyDescent="0.25">
      <c r="A25">
        <v>21</v>
      </c>
      <c r="B25" t="s">
        <v>216</v>
      </c>
      <c r="C25">
        <v>820</v>
      </c>
      <c r="E25">
        <f t="shared" si="0"/>
        <v>1091</v>
      </c>
      <c r="F25" s="101">
        <v>820</v>
      </c>
    </row>
    <row r="26" spans="1:27" ht="15.75" x14ac:dyDescent="0.25">
      <c r="A26">
        <v>22</v>
      </c>
      <c r="B26" t="s">
        <v>217</v>
      </c>
      <c r="C26">
        <v>770</v>
      </c>
      <c r="E26">
        <f t="shared" si="0"/>
        <v>1158</v>
      </c>
      <c r="F26" s="101">
        <v>770</v>
      </c>
    </row>
    <row r="27" spans="1:27" ht="15.75" x14ac:dyDescent="0.25">
      <c r="A27">
        <v>23</v>
      </c>
      <c r="B27" t="s">
        <v>218</v>
      </c>
      <c r="C27">
        <v>790</v>
      </c>
      <c r="E27">
        <f t="shared" si="0"/>
        <v>1130</v>
      </c>
      <c r="F27" s="101">
        <v>790</v>
      </c>
    </row>
    <row r="28" spans="1:27" ht="15.75" x14ac:dyDescent="0.25">
      <c r="A28">
        <v>24</v>
      </c>
      <c r="B28" t="s">
        <v>219</v>
      </c>
      <c r="C28">
        <v>730</v>
      </c>
      <c r="E28">
        <f t="shared" si="0"/>
        <v>1217</v>
      </c>
      <c r="F28" s="101">
        <v>730</v>
      </c>
    </row>
    <row r="29" spans="1:27" ht="15.75" x14ac:dyDescent="0.25">
      <c r="A29">
        <v>25</v>
      </c>
      <c r="B29" t="s">
        <v>220</v>
      </c>
      <c r="C29">
        <v>690</v>
      </c>
      <c r="E29">
        <f t="shared" si="0"/>
        <v>1283</v>
      </c>
      <c r="F29" s="101">
        <v>690</v>
      </c>
    </row>
    <row r="30" spans="1:27" ht="15.75" x14ac:dyDescent="0.25">
      <c r="A30">
        <v>26</v>
      </c>
      <c r="B30" t="s">
        <v>221</v>
      </c>
      <c r="C30">
        <v>970</v>
      </c>
      <c r="E30">
        <f t="shared" si="0"/>
        <v>931</v>
      </c>
      <c r="F30" s="101">
        <v>970</v>
      </c>
    </row>
    <row r="31" spans="1:27" ht="15.75" x14ac:dyDescent="0.25">
      <c r="A31">
        <v>27</v>
      </c>
      <c r="B31" t="s">
        <v>226</v>
      </c>
      <c r="C31">
        <v>760</v>
      </c>
      <c r="E31">
        <f t="shared" si="0"/>
        <v>1172</v>
      </c>
      <c r="F31" s="101">
        <v>760</v>
      </c>
    </row>
    <row r="32" spans="1:27" ht="15.75" x14ac:dyDescent="0.25">
      <c r="A32">
        <v>28</v>
      </c>
      <c r="B32" t="s">
        <v>222</v>
      </c>
      <c r="C32">
        <v>919</v>
      </c>
      <c r="E32">
        <f t="shared" si="0"/>
        <v>979</v>
      </c>
      <c r="F32" s="101">
        <v>919</v>
      </c>
    </row>
    <row r="33" spans="1:12" ht="15.75" x14ac:dyDescent="0.25">
      <c r="A33">
        <v>29</v>
      </c>
      <c r="B33" t="s">
        <v>223</v>
      </c>
      <c r="C33">
        <v>720</v>
      </c>
      <c r="E33">
        <f t="shared" si="0"/>
        <v>1233</v>
      </c>
      <c r="F33" s="101">
        <v>720</v>
      </c>
      <c r="K33" s="9"/>
      <c r="L33" s="9"/>
    </row>
    <row r="34" spans="1:12" ht="15.75" x14ac:dyDescent="0.25">
      <c r="A34">
        <v>30</v>
      </c>
      <c r="B34" t="s">
        <v>224</v>
      </c>
      <c r="C34">
        <v>672</v>
      </c>
      <c r="E34">
        <f t="shared" si="0"/>
        <v>1315</v>
      </c>
      <c r="F34" s="101">
        <v>672</v>
      </c>
      <c r="K34" s="1"/>
      <c r="L34" s="8"/>
    </row>
    <row r="35" spans="1:12" ht="15.75" x14ac:dyDescent="0.25">
      <c r="A35">
        <v>31</v>
      </c>
      <c r="B35" t="s">
        <v>225</v>
      </c>
      <c r="C35">
        <v>800</v>
      </c>
      <c r="E35">
        <f t="shared" si="0"/>
        <v>1117</v>
      </c>
      <c r="F35" s="101">
        <v>800</v>
      </c>
      <c r="K35" s="1"/>
      <c r="L35" s="8"/>
    </row>
    <row r="36" spans="1:12" x14ac:dyDescent="0.25">
      <c r="B36" t="s">
        <v>27</v>
      </c>
      <c r="K36" s="1"/>
      <c r="L36" s="8"/>
    </row>
    <row r="37" spans="1:12" x14ac:dyDescent="0.25">
      <c r="K37" s="1"/>
      <c r="L37" s="8"/>
    </row>
    <row r="38" spans="1:12" x14ac:dyDescent="0.25">
      <c r="K38" s="1"/>
      <c r="L38" s="8"/>
    </row>
    <row r="39" spans="1:12" x14ac:dyDescent="0.25">
      <c r="K39" s="2"/>
      <c r="L39" s="3"/>
    </row>
    <row r="45" spans="1:12" x14ac:dyDescent="0.25">
      <c r="D45" s="4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A6C5E-91EE-4299-8FE0-BE203C94C1B8}">
  <sheetPr codeName="Sheet9"/>
  <dimension ref="A1:AA45"/>
  <sheetViews>
    <sheetView zoomScale="75" zoomScaleNormal="75" workbookViewId="0">
      <selection activeCell="L7" sqref="L7"/>
    </sheetView>
  </sheetViews>
  <sheetFormatPr defaultRowHeight="15" x14ac:dyDescent="0.25"/>
  <cols>
    <col min="3" max="3" width="25.5703125" customWidth="1"/>
    <col min="4" max="4" width="16.85546875" bestFit="1" customWidth="1"/>
    <col min="5" max="5" width="13.28515625" customWidth="1"/>
    <col min="6" max="6" width="9.140625" customWidth="1"/>
    <col min="7" max="7" width="11.85546875" customWidth="1"/>
    <col min="9" max="9" width="12.7109375" customWidth="1"/>
    <col min="10" max="10" width="13" customWidth="1"/>
    <col min="11" max="11" width="13.28515625" customWidth="1"/>
    <col min="12" max="12" width="16.7109375" customWidth="1"/>
    <col min="13" max="13" width="23.5703125" customWidth="1"/>
    <col min="14" max="14" width="16.85546875" customWidth="1"/>
    <col min="15" max="15" width="23.7109375" bestFit="1" customWidth="1"/>
    <col min="16" max="16" width="20.5703125" customWidth="1"/>
    <col min="17" max="17" width="18.5703125" customWidth="1"/>
    <col min="18" max="18" width="15" customWidth="1"/>
    <col min="19" max="19" width="17.140625" customWidth="1"/>
    <col min="20" max="20" width="12.7109375" customWidth="1"/>
    <col min="21" max="21" width="11.28515625" customWidth="1"/>
    <col min="22" max="22" width="12.140625" customWidth="1"/>
    <col min="23" max="23" width="14.7109375" customWidth="1"/>
    <col min="24" max="24" width="11" customWidth="1"/>
    <col min="26" max="28" width="10.28515625" bestFit="1" customWidth="1"/>
    <col min="29" max="31" width="11.42578125" customWidth="1"/>
    <col min="32" max="37" width="12" customWidth="1"/>
    <col min="38" max="38" width="12" bestFit="1" customWidth="1"/>
    <col min="39" max="39" width="12.5703125" bestFit="1" customWidth="1"/>
    <col min="40" max="40" width="11.42578125" customWidth="1"/>
    <col min="46" max="46" width="12" bestFit="1" customWidth="1"/>
    <col min="48" max="48" width="10.5703125" bestFit="1" customWidth="1"/>
    <col min="54" max="54" width="12" bestFit="1" customWidth="1"/>
    <col min="56" max="56" width="10.5703125" bestFit="1" customWidth="1"/>
  </cols>
  <sheetData>
    <row r="1" spans="1:27" x14ac:dyDescent="0.25">
      <c r="C1" s="1" t="s">
        <v>52</v>
      </c>
    </row>
    <row r="2" spans="1:27" x14ac:dyDescent="0.25">
      <c r="I2" t="s">
        <v>0</v>
      </c>
      <c r="J2" t="s">
        <v>0</v>
      </c>
      <c r="R2" s="2"/>
    </row>
    <row r="3" spans="1:27" x14ac:dyDescent="0.25">
      <c r="G3" s="2" t="s">
        <v>144</v>
      </c>
      <c r="H3" s="2" t="s">
        <v>33</v>
      </c>
      <c r="I3" s="2" t="s">
        <v>182</v>
      </c>
      <c r="J3" s="2" t="s">
        <v>183</v>
      </c>
      <c r="K3" s="2" t="s">
        <v>28</v>
      </c>
      <c r="L3" s="2" t="s">
        <v>115</v>
      </c>
      <c r="M3" s="2" t="s">
        <v>78</v>
      </c>
      <c r="N3" s="2" t="s">
        <v>174</v>
      </c>
      <c r="O3" s="2" t="s">
        <v>190</v>
      </c>
      <c r="P3" s="2"/>
      <c r="Q3" s="2"/>
      <c r="R3" s="2"/>
      <c r="S3" s="2"/>
      <c r="T3" s="2"/>
      <c r="U3" s="2"/>
      <c r="V3" s="2"/>
      <c r="W3" s="2"/>
      <c r="Z3" s="2"/>
      <c r="AA3" s="2"/>
    </row>
    <row r="4" spans="1:27" x14ac:dyDescent="0.25">
      <c r="A4">
        <f t="shared" ref="A4:A35" si="0">INT(100000/(1+D4/1000))</f>
        <v>80000</v>
      </c>
      <c r="B4">
        <v>0</v>
      </c>
      <c r="C4" t="s">
        <v>1</v>
      </c>
      <c r="D4">
        <v>250</v>
      </c>
      <c r="E4" s="5">
        <v>1611266400</v>
      </c>
      <c r="F4">
        <f>INT(INT(1000000/(MOD(D4,10000)+50))*IF(D4&gt;10000,0.9,0.95))</f>
        <v>3166</v>
      </c>
      <c r="G4">
        <v>3</v>
      </c>
      <c r="H4">
        <v>0</v>
      </c>
      <c r="I4">
        <v>0</v>
      </c>
      <c r="J4">
        <v>1000</v>
      </c>
      <c r="K4">
        <f>MOD(D4,10000)</f>
        <v>250</v>
      </c>
      <c r="L4">
        <f>J4*K4/1000</f>
        <v>250</v>
      </c>
      <c r="M4" t="b">
        <v>0</v>
      </c>
      <c r="N4">
        <v>0</v>
      </c>
      <c r="O4">
        <v>0</v>
      </c>
      <c r="P4" s="44"/>
      <c r="Q4" s="44"/>
      <c r="R4" s="6"/>
      <c r="S4" s="6"/>
      <c r="T4" s="6"/>
      <c r="U4" s="6"/>
      <c r="V4" s="6"/>
      <c r="W4" s="6"/>
      <c r="X4" s="6"/>
    </row>
    <row r="5" spans="1:27" x14ac:dyDescent="0.25">
      <c r="A5">
        <f t="shared" si="0"/>
        <v>8695</v>
      </c>
      <c r="B5">
        <v>1</v>
      </c>
      <c r="C5" t="s">
        <v>17</v>
      </c>
      <c r="D5">
        <v>10500</v>
      </c>
      <c r="E5" s="5">
        <v>1611266400</v>
      </c>
      <c r="F5">
        <f t="shared" ref="F5:F35" si="1">INT(INT(1000000/(MOD(D5,10000)+50))*IF(D5&gt;10000,0.9,0.95))</f>
        <v>1636</v>
      </c>
      <c r="G5">
        <v>3</v>
      </c>
      <c r="H5">
        <v>1</v>
      </c>
      <c r="I5">
        <v>0</v>
      </c>
      <c r="J5">
        <v>1000</v>
      </c>
      <c r="K5">
        <f>MOD(D5,10000)</f>
        <v>500</v>
      </c>
      <c r="L5">
        <f t="shared" ref="L5:L6" si="2">J5*K5/1000</f>
        <v>500</v>
      </c>
      <c r="M5" t="b">
        <v>1</v>
      </c>
      <c r="N5" s="3">
        <f>L5*0.05</f>
        <v>25</v>
      </c>
      <c r="O5" s="26">
        <f>L5-N5+J5</f>
        <v>1475</v>
      </c>
      <c r="P5" s="134"/>
      <c r="Q5" s="44"/>
      <c r="R5" s="6"/>
      <c r="S5" s="6"/>
      <c r="T5" s="6"/>
      <c r="U5" s="6"/>
      <c r="V5" s="6"/>
      <c r="W5" s="6"/>
      <c r="X5" s="6"/>
    </row>
    <row r="6" spans="1:27" x14ac:dyDescent="0.25">
      <c r="A6">
        <f t="shared" si="0"/>
        <v>83333</v>
      </c>
      <c r="B6">
        <v>2</v>
      </c>
      <c r="C6" t="s">
        <v>3</v>
      </c>
      <c r="D6">
        <v>200</v>
      </c>
      <c r="E6" s="5">
        <v>1611266400</v>
      </c>
      <c r="F6">
        <f t="shared" si="1"/>
        <v>3800</v>
      </c>
      <c r="G6">
        <v>3</v>
      </c>
      <c r="H6">
        <v>3</v>
      </c>
      <c r="I6">
        <v>1</v>
      </c>
      <c r="J6">
        <v>1000</v>
      </c>
      <c r="K6">
        <f>MOD(F7,10000)</f>
        <v>979</v>
      </c>
      <c r="L6">
        <f t="shared" si="2"/>
        <v>979</v>
      </c>
      <c r="M6" t="s">
        <v>79</v>
      </c>
      <c r="N6">
        <v>0</v>
      </c>
      <c r="O6">
        <f>J6</f>
        <v>1000</v>
      </c>
      <c r="P6" s="44"/>
      <c r="Q6" s="44"/>
      <c r="R6" s="6"/>
      <c r="T6" s="6"/>
      <c r="U6" s="6"/>
      <c r="V6" s="6"/>
      <c r="W6" s="6"/>
      <c r="X6" s="6"/>
    </row>
    <row r="7" spans="1:27" x14ac:dyDescent="0.25">
      <c r="A7">
        <f t="shared" si="0"/>
        <v>52110</v>
      </c>
      <c r="B7">
        <v>3</v>
      </c>
      <c r="C7" t="s">
        <v>4</v>
      </c>
      <c r="D7">
        <v>919</v>
      </c>
      <c r="E7" s="5">
        <v>1611266400</v>
      </c>
      <c r="F7">
        <f t="shared" si="1"/>
        <v>979</v>
      </c>
      <c r="T7" s="6"/>
      <c r="U7" s="6"/>
      <c r="V7" s="6"/>
      <c r="W7" s="6"/>
      <c r="X7" s="6"/>
    </row>
    <row r="8" spans="1:27" x14ac:dyDescent="0.25">
      <c r="A8">
        <f t="shared" si="0"/>
        <v>52383</v>
      </c>
      <c r="B8">
        <v>4</v>
      </c>
      <c r="C8" t="s">
        <v>5</v>
      </c>
      <c r="D8">
        <v>909</v>
      </c>
      <c r="E8" s="5">
        <v>1611266400</v>
      </c>
      <c r="F8">
        <f t="shared" si="1"/>
        <v>989</v>
      </c>
      <c r="P8" s="44"/>
      <c r="Q8" s="44"/>
      <c r="R8" s="6"/>
      <c r="S8" s="6"/>
      <c r="T8" s="2"/>
      <c r="U8" s="2"/>
      <c r="V8" s="6"/>
      <c r="W8" s="6"/>
      <c r="X8" s="6"/>
    </row>
    <row r="9" spans="1:27" x14ac:dyDescent="0.25">
      <c r="A9">
        <f t="shared" si="0"/>
        <v>55555</v>
      </c>
      <c r="B9">
        <v>5</v>
      </c>
      <c r="C9" t="s">
        <v>6</v>
      </c>
      <c r="D9">
        <v>800</v>
      </c>
      <c r="E9" s="5">
        <v>1609290000</v>
      </c>
      <c r="F9">
        <f t="shared" si="1"/>
        <v>1117</v>
      </c>
      <c r="O9" s="11"/>
      <c r="P9" s="44"/>
      <c r="Q9" s="44"/>
      <c r="R9" s="6"/>
      <c r="S9" s="6"/>
      <c r="T9" s="6"/>
      <c r="U9" s="6"/>
      <c r="V9" s="6"/>
      <c r="W9" s="6"/>
      <c r="X9" s="6"/>
    </row>
    <row r="10" spans="1:27" x14ac:dyDescent="0.25">
      <c r="A10">
        <f t="shared" si="0"/>
        <v>66225</v>
      </c>
      <c r="B10">
        <v>6</v>
      </c>
      <c r="C10" t="s">
        <v>7</v>
      </c>
      <c r="D10">
        <v>510</v>
      </c>
      <c r="E10" s="5">
        <v>1611266400</v>
      </c>
      <c r="F10">
        <f t="shared" si="1"/>
        <v>1695</v>
      </c>
      <c r="G10" s="2" t="s">
        <v>144</v>
      </c>
      <c r="H10" s="2" t="s">
        <v>33</v>
      </c>
      <c r="I10" s="2" t="s">
        <v>182</v>
      </c>
      <c r="J10" s="2" t="s">
        <v>183</v>
      </c>
      <c r="K10" s="2" t="s">
        <v>28</v>
      </c>
      <c r="L10" s="2" t="s">
        <v>115</v>
      </c>
      <c r="M10" s="2" t="s">
        <v>78</v>
      </c>
      <c r="N10" s="2" t="s">
        <v>174</v>
      </c>
      <c r="O10" s="2" t="s">
        <v>190</v>
      </c>
      <c r="P10" s="45"/>
      <c r="Q10" s="45"/>
      <c r="R10" s="2"/>
      <c r="S10" s="2"/>
      <c r="T10" s="6"/>
      <c r="U10" s="6"/>
      <c r="V10" s="6"/>
      <c r="W10" s="6"/>
      <c r="X10" s="6"/>
      <c r="Z10" s="2"/>
      <c r="AA10" s="2"/>
    </row>
    <row r="11" spans="1:27" x14ac:dyDescent="0.25">
      <c r="A11">
        <f t="shared" si="0"/>
        <v>57504</v>
      </c>
      <c r="B11">
        <v>7</v>
      </c>
      <c r="C11" t="s">
        <v>8</v>
      </c>
      <c r="D11">
        <v>739</v>
      </c>
      <c r="E11" s="5">
        <v>1611266400</v>
      </c>
      <c r="F11">
        <f t="shared" si="1"/>
        <v>1203</v>
      </c>
      <c r="G11">
        <v>2</v>
      </c>
      <c r="H11">
        <v>0</v>
      </c>
      <c r="I11">
        <v>1</v>
      </c>
      <c r="J11">
        <v>1000</v>
      </c>
      <c r="K11">
        <f>MOD(F4,10000)</f>
        <v>3166</v>
      </c>
      <c r="L11">
        <f>K11/1000*J11</f>
        <v>3166</v>
      </c>
      <c r="M11" t="b">
        <v>1</v>
      </c>
      <c r="N11" s="3">
        <f>L11*0.05</f>
        <v>158.30000000000001</v>
      </c>
      <c r="O11" s="15">
        <f>L11-N11+J11</f>
        <v>4007.7</v>
      </c>
      <c r="P11" s="136"/>
      <c r="Q11" s="44"/>
      <c r="R11" s="6"/>
      <c r="S11" s="6"/>
      <c r="T11" s="6"/>
      <c r="U11" s="6"/>
      <c r="V11" s="6"/>
      <c r="W11" s="6"/>
      <c r="X11" s="6"/>
    </row>
    <row r="12" spans="1:27" x14ac:dyDescent="0.25">
      <c r="A12">
        <f t="shared" si="0"/>
        <v>61728</v>
      </c>
      <c r="B12">
        <v>8</v>
      </c>
      <c r="C12" t="s">
        <v>9</v>
      </c>
      <c r="D12">
        <v>620</v>
      </c>
      <c r="E12" s="5">
        <v>1611266400</v>
      </c>
      <c r="F12">
        <f t="shared" si="1"/>
        <v>1417</v>
      </c>
      <c r="G12">
        <v>2</v>
      </c>
      <c r="H12">
        <v>2</v>
      </c>
      <c r="I12">
        <v>1</v>
      </c>
      <c r="J12">
        <v>1000</v>
      </c>
      <c r="K12">
        <f>MOD(F6,10000)</f>
        <v>3800</v>
      </c>
      <c r="L12">
        <f>K12/1000*J12</f>
        <v>3800</v>
      </c>
      <c r="M12" t="b">
        <v>1</v>
      </c>
      <c r="N12" s="3">
        <f>(L12*0.05)</f>
        <v>190</v>
      </c>
      <c r="O12">
        <f t="shared" ref="O12" si="3">L12-N12+J12</f>
        <v>4610</v>
      </c>
      <c r="P12" s="135"/>
      <c r="Q12" s="44"/>
      <c r="R12" s="6"/>
      <c r="S12" s="6"/>
      <c r="T12" s="6"/>
      <c r="U12" s="6"/>
      <c r="V12" s="6"/>
      <c r="W12" s="6"/>
      <c r="X12" s="6"/>
    </row>
    <row r="13" spans="1:27" x14ac:dyDescent="0.25">
      <c r="A13">
        <f t="shared" si="0"/>
        <v>51020</v>
      </c>
      <c r="B13">
        <v>9</v>
      </c>
      <c r="C13" t="s">
        <v>10</v>
      </c>
      <c r="D13">
        <v>960</v>
      </c>
      <c r="E13" s="5">
        <v>1611266400</v>
      </c>
      <c r="F13">
        <f t="shared" si="1"/>
        <v>940</v>
      </c>
      <c r="O13" s="4"/>
      <c r="P13" s="6"/>
      <c r="Q13" s="6"/>
      <c r="R13" s="46"/>
      <c r="S13" s="6"/>
      <c r="T13" s="6"/>
      <c r="U13" s="6"/>
      <c r="V13" s="6"/>
      <c r="W13" s="6"/>
      <c r="X13" s="6"/>
    </row>
    <row r="14" spans="1:27" x14ac:dyDescent="0.25">
      <c r="A14">
        <f t="shared" si="0"/>
        <v>60606</v>
      </c>
      <c r="B14">
        <v>10</v>
      </c>
      <c r="C14" t="s">
        <v>11</v>
      </c>
      <c r="D14">
        <v>650</v>
      </c>
      <c r="E14" s="5">
        <v>1609290000</v>
      </c>
      <c r="F14">
        <f t="shared" si="1"/>
        <v>1356</v>
      </c>
      <c r="N14" s="2" t="s">
        <v>187</v>
      </c>
      <c r="O14" s="2" t="s">
        <v>188</v>
      </c>
      <c r="R14" s="2"/>
      <c r="S14" s="6"/>
      <c r="T14" s="7"/>
      <c r="U14" s="7"/>
      <c r="V14" s="6"/>
      <c r="W14" s="6"/>
    </row>
    <row r="15" spans="1:27" x14ac:dyDescent="0.25">
      <c r="A15">
        <f t="shared" si="0"/>
        <v>59241</v>
      </c>
      <c r="B15">
        <v>11</v>
      </c>
      <c r="C15" t="s">
        <v>12</v>
      </c>
      <c r="D15">
        <v>688</v>
      </c>
      <c r="E15" s="5">
        <v>1611266400</v>
      </c>
      <c r="F15">
        <f t="shared" si="1"/>
        <v>1287</v>
      </c>
      <c r="L15" s="54"/>
      <c r="M15" t="s">
        <v>181</v>
      </c>
      <c r="N15" s="4">
        <v>30000</v>
      </c>
      <c r="O15" s="4">
        <f>N15+SUM(J4:J12)-J5-J6-J11-J12-L11-L12</f>
        <v>24034</v>
      </c>
      <c r="S15" s="6"/>
      <c r="T15" s="6"/>
      <c r="U15" s="6"/>
      <c r="V15" s="7"/>
      <c r="W15" s="6"/>
    </row>
    <row r="16" spans="1:27" x14ac:dyDescent="0.25">
      <c r="A16">
        <f t="shared" si="0"/>
        <v>50761</v>
      </c>
      <c r="B16">
        <v>12</v>
      </c>
      <c r="C16" t="s">
        <v>13</v>
      </c>
      <c r="D16">
        <v>970</v>
      </c>
      <c r="E16" s="5">
        <v>1611266400</v>
      </c>
      <c r="F16">
        <f t="shared" si="1"/>
        <v>931</v>
      </c>
      <c r="M16" t="s">
        <v>83</v>
      </c>
      <c r="N16" s="4">
        <v>2000</v>
      </c>
      <c r="O16" s="3">
        <f>INT(N16+L11+L12-N11-N12)</f>
        <v>8617</v>
      </c>
      <c r="P16" s="15"/>
      <c r="S16" s="7"/>
      <c r="T16" s="6"/>
      <c r="U16" s="6"/>
      <c r="V16" s="6"/>
      <c r="W16" s="6"/>
    </row>
    <row r="17" spans="1:27" x14ac:dyDescent="0.25">
      <c r="A17">
        <f t="shared" si="0"/>
        <v>57803</v>
      </c>
      <c r="B17">
        <v>13</v>
      </c>
      <c r="C17" t="s">
        <v>14</v>
      </c>
      <c r="D17">
        <v>730</v>
      </c>
      <c r="E17" s="5">
        <v>1611266400</v>
      </c>
      <c r="F17">
        <f t="shared" si="1"/>
        <v>1217</v>
      </c>
      <c r="J17" s="1"/>
      <c r="K17" s="1"/>
      <c r="M17" t="s">
        <v>84</v>
      </c>
      <c r="N17" s="4">
        <v>3000</v>
      </c>
      <c r="O17" s="4">
        <f>N17-J4-J5-J6+O5+O6</f>
        <v>2475</v>
      </c>
      <c r="P17" s="6"/>
      <c r="Q17" s="6"/>
      <c r="S17" s="6"/>
      <c r="T17" s="6"/>
      <c r="U17" s="6"/>
      <c r="V17" s="6"/>
      <c r="W17" s="6"/>
      <c r="Z17" s="2"/>
      <c r="AA17" s="2"/>
    </row>
    <row r="18" spans="1:27" x14ac:dyDescent="0.25">
      <c r="A18">
        <f t="shared" si="0"/>
        <v>58858</v>
      </c>
      <c r="B18">
        <v>14</v>
      </c>
      <c r="C18" t="s">
        <v>15</v>
      </c>
      <c r="D18">
        <v>699</v>
      </c>
      <c r="E18" s="5">
        <v>1611266400</v>
      </c>
      <c r="F18">
        <f t="shared" si="1"/>
        <v>1268</v>
      </c>
      <c r="J18" s="1"/>
      <c r="K18" s="1"/>
      <c r="M18" s="77"/>
      <c r="S18" s="6"/>
      <c r="T18" s="6"/>
      <c r="U18" s="6"/>
      <c r="V18" s="6"/>
      <c r="W18" s="6"/>
      <c r="X18" s="7"/>
    </row>
    <row r="19" spans="1:27" x14ac:dyDescent="0.25">
      <c r="A19">
        <f t="shared" si="0"/>
        <v>53078</v>
      </c>
      <c r="B19">
        <v>15</v>
      </c>
      <c r="C19" t="s">
        <v>16</v>
      </c>
      <c r="D19">
        <v>884</v>
      </c>
      <c r="E19" s="5">
        <v>1609290000</v>
      </c>
      <c r="F19">
        <f t="shared" si="1"/>
        <v>1016</v>
      </c>
      <c r="J19" s="1"/>
      <c r="K19" s="1"/>
      <c r="M19" s="77"/>
      <c r="N19" s="4"/>
      <c r="O19" s="4"/>
      <c r="S19" s="6"/>
      <c r="T19" s="6"/>
      <c r="U19" s="6"/>
      <c r="W19" s="6"/>
      <c r="X19" s="6"/>
    </row>
    <row r="20" spans="1:27" x14ac:dyDescent="0.25">
      <c r="A20">
        <f t="shared" si="0"/>
        <v>8680</v>
      </c>
      <c r="B20">
        <v>16</v>
      </c>
      <c r="C20" t="s">
        <v>17</v>
      </c>
      <c r="D20">
        <v>10520</v>
      </c>
      <c r="E20" s="5">
        <v>1611266400</v>
      </c>
      <c r="F20">
        <f t="shared" si="1"/>
        <v>1578</v>
      </c>
      <c r="J20" s="17"/>
      <c r="M20" t="s">
        <v>186</v>
      </c>
      <c r="N20">
        <v>200</v>
      </c>
      <c r="O20" s="60">
        <v>1000000000</v>
      </c>
      <c r="S20" s="6"/>
      <c r="T20" s="7"/>
      <c r="U20" s="7"/>
      <c r="W20" s="6"/>
      <c r="X20" s="6"/>
    </row>
    <row r="21" spans="1:27" x14ac:dyDescent="0.25">
      <c r="A21">
        <f t="shared" si="0"/>
        <v>52603</v>
      </c>
      <c r="B21">
        <v>17</v>
      </c>
      <c r="C21" t="s">
        <v>18</v>
      </c>
      <c r="D21">
        <v>901</v>
      </c>
      <c r="E21" s="5">
        <v>1611266400</v>
      </c>
      <c r="F21">
        <f t="shared" si="1"/>
        <v>998</v>
      </c>
      <c r="J21" s="17"/>
      <c r="M21" t="s">
        <v>53</v>
      </c>
      <c r="N21" s="4">
        <v>33574</v>
      </c>
      <c r="S21" s="6"/>
      <c r="T21" s="6"/>
      <c r="U21" s="6"/>
      <c r="W21" s="6"/>
      <c r="X21" s="6"/>
    </row>
    <row r="22" spans="1:27" x14ac:dyDescent="0.25">
      <c r="A22">
        <f t="shared" si="0"/>
        <v>61728</v>
      </c>
      <c r="B22">
        <v>18</v>
      </c>
      <c r="C22" t="s">
        <v>19</v>
      </c>
      <c r="D22">
        <v>620</v>
      </c>
      <c r="E22" s="5">
        <v>1611266400</v>
      </c>
      <c r="F22">
        <f t="shared" si="1"/>
        <v>1417</v>
      </c>
      <c r="G22" s="2"/>
      <c r="J22" s="17"/>
      <c r="M22" t="s">
        <v>80</v>
      </c>
      <c r="N22" s="59">
        <f>N21*N20*O20/O22</f>
        <v>6.7147999999999999E-3</v>
      </c>
      <c r="O22" s="60">
        <v>1E+18</v>
      </c>
      <c r="S22" s="7"/>
      <c r="X22" s="6"/>
    </row>
    <row r="23" spans="1:27" x14ac:dyDescent="0.25">
      <c r="A23">
        <f t="shared" si="0"/>
        <v>56689</v>
      </c>
      <c r="B23">
        <v>19</v>
      </c>
      <c r="C23" t="s">
        <v>20</v>
      </c>
      <c r="D23">
        <v>764</v>
      </c>
      <c r="E23" s="5">
        <v>1611266400</v>
      </c>
      <c r="F23">
        <f t="shared" si="1"/>
        <v>1166</v>
      </c>
      <c r="M23" s="3"/>
      <c r="S23" s="6"/>
      <c r="T23" s="2"/>
      <c r="U23" s="13"/>
      <c r="V23" s="7"/>
      <c r="X23" s="6"/>
    </row>
    <row r="24" spans="1:27" x14ac:dyDescent="0.25">
      <c r="A24">
        <f t="shared" si="0"/>
        <v>54024</v>
      </c>
      <c r="B24">
        <v>20</v>
      </c>
      <c r="C24" t="s">
        <v>21</v>
      </c>
      <c r="D24">
        <v>851</v>
      </c>
      <c r="E24" s="5">
        <v>1609290000</v>
      </c>
      <c r="F24">
        <f t="shared" si="1"/>
        <v>1053</v>
      </c>
      <c r="M24" t="s">
        <v>184</v>
      </c>
      <c r="N24" s="138">
        <f>(N11+N12+N5)/10000</f>
        <v>3.7330000000000002E-2</v>
      </c>
      <c r="S24" s="46"/>
      <c r="T24" s="6"/>
      <c r="U24" s="6"/>
      <c r="V24" s="6"/>
      <c r="X24" s="6"/>
      <c r="Z24" s="2"/>
      <c r="AA24" s="2"/>
    </row>
    <row r="25" spans="1:27" x14ac:dyDescent="0.25">
      <c r="A25">
        <f t="shared" si="0"/>
        <v>54945</v>
      </c>
      <c r="B25">
        <v>21</v>
      </c>
      <c r="C25" t="s">
        <v>216</v>
      </c>
      <c r="D25">
        <v>820</v>
      </c>
      <c r="E25" s="5">
        <v>1611266400</v>
      </c>
      <c r="F25">
        <f t="shared" si="1"/>
        <v>1091</v>
      </c>
      <c r="M25" t="s">
        <v>185</v>
      </c>
      <c r="N25" s="11">
        <f>(N17+N16+N15)/10000-N24</f>
        <v>3.4626700000000001</v>
      </c>
      <c r="O25" t="s">
        <v>227</v>
      </c>
      <c r="T25" s="3"/>
      <c r="U25" s="3"/>
      <c r="V25" s="6"/>
      <c r="X25" s="6"/>
    </row>
    <row r="26" spans="1:27" x14ac:dyDescent="0.25">
      <c r="A26">
        <f t="shared" si="0"/>
        <v>56497</v>
      </c>
      <c r="B26">
        <v>22</v>
      </c>
      <c r="C26" t="s">
        <v>217</v>
      </c>
      <c r="D26">
        <v>770</v>
      </c>
      <c r="E26" s="5">
        <v>1611266400</v>
      </c>
      <c r="F26">
        <f t="shared" si="1"/>
        <v>1158</v>
      </c>
      <c r="M26" t="s">
        <v>185</v>
      </c>
      <c r="N26" s="138">
        <f>N25-O16/10000</f>
        <v>2.6009700000000002</v>
      </c>
      <c r="O26" t="s">
        <v>189</v>
      </c>
      <c r="S26" s="16"/>
      <c r="T26" s="3"/>
      <c r="U26" s="3"/>
      <c r="V26" s="6"/>
      <c r="W26" s="7"/>
    </row>
    <row r="27" spans="1:27" x14ac:dyDescent="0.25">
      <c r="A27">
        <f t="shared" si="0"/>
        <v>55865</v>
      </c>
      <c r="B27">
        <v>23</v>
      </c>
      <c r="C27" t="s">
        <v>218</v>
      </c>
      <c r="D27">
        <v>790</v>
      </c>
      <c r="E27" s="5">
        <v>1611266400</v>
      </c>
      <c r="F27">
        <f t="shared" si="1"/>
        <v>1130</v>
      </c>
      <c r="M27" s="8" t="s">
        <v>229</v>
      </c>
      <c r="N27" s="11">
        <f>(N16-J11-J12+O11+O12)/10000</f>
        <v>0.86177000000000004</v>
      </c>
      <c r="S27" s="16"/>
      <c r="T27" s="6"/>
      <c r="U27" s="6"/>
      <c r="W27" s="6"/>
    </row>
    <row r="28" spans="1:27" x14ac:dyDescent="0.25">
      <c r="A28">
        <f t="shared" si="0"/>
        <v>57803</v>
      </c>
      <c r="B28">
        <v>24</v>
      </c>
      <c r="C28" t="s">
        <v>219</v>
      </c>
      <c r="D28">
        <v>730</v>
      </c>
      <c r="E28" s="5">
        <v>1611266400</v>
      </c>
      <c r="F28">
        <f t="shared" si="1"/>
        <v>1217</v>
      </c>
      <c r="L28" s="3"/>
      <c r="M28" t="s">
        <v>228</v>
      </c>
      <c r="N28" s="137">
        <f>N27-N22</f>
        <v>0.85505520000000002</v>
      </c>
      <c r="P28" s="53"/>
      <c r="Q28" s="9"/>
      <c r="T28" s="3"/>
      <c r="U28" s="3"/>
      <c r="W28" s="6"/>
    </row>
    <row r="29" spans="1:27" x14ac:dyDescent="0.25">
      <c r="A29">
        <f t="shared" si="0"/>
        <v>59171</v>
      </c>
      <c r="B29">
        <v>25</v>
      </c>
      <c r="C29" t="s">
        <v>220</v>
      </c>
      <c r="D29">
        <v>690</v>
      </c>
      <c r="E29" s="5">
        <v>1609290000</v>
      </c>
      <c r="F29">
        <f t="shared" si="1"/>
        <v>1283</v>
      </c>
      <c r="N29" s="54"/>
      <c r="P29" s="8"/>
      <c r="Q29" s="8"/>
      <c r="T29" s="3"/>
      <c r="U29" s="3"/>
      <c r="W29" s="6"/>
    </row>
    <row r="30" spans="1:27" x14ac:dyDescent="0.25">
      <c r="A30">
        <f t="shared" si="0"/>
        <v>50761</v>
      </c>
      <c r="B30">
        <v>26</v>
      </c>
      <c r="C30" t="s">
        <v>221</v>
      </c>
      <c r="D30">
        <v>970</v>
      </c>
      <c r="E30" s="5">
        <v>1611266400</v>
      </c>
      <c r="F30">
        <f t="shared" si="1"/>
        <v>931</v>
      </c>
      <c r="K30" s="12"/>
      <c r="P30" s="8"/>
      <c r="Q30" s="8"/>
      <c r="X30" s="6"/>
    </row>
    <row r="31" spans="1:27" x14ac:dyDescent="0.25">
      <c r="A31">
        <f t="shared" si="0"/>
        <v>56818</v>
      </c>
      <c r="B31">
        <v>27</v>
      </c>
      <c r="C31" t="s">
        <v>226</v>
      </c>
      <c r="D31">
        <v>760</v>
      </c>
      <c r="E31" s="5">
        <v>1611266400</v>
      </c>
      <c r="F31">
        <f t="shared" si="1"/>
        <v>1172</v>
      </c>
      <c r="P31" s="8"/>
      <c r="Q31" s="8"/>
      <c r="T31" s="9"/>
      <c r="Z31" s="2"/>
      <c r="AA31" s="2"/>
    </row>
    <row r="32" spans="1:27" x14ac:dyDescent="0.25">
      <c r="A32">
        <f t="shared" si="0"/>
        <v>52110</v>
      </c>
      <c r="B32">
        <v>28</v>
      </c>
      <c r="C32" t="s">
        <v>222</v>
      </c>
      <c r="D32">
        <v>919</v>
      </c>
      <c r="E32" s="5">
        <v>1611266400</v>
      </c>
      <c r="F32">
        <f t="shared" si="1"/>
        <v>979</v>
      </c>
      <c r="M32" s="8"/>
      <c r="O32" s="1"/>
      <c r="P32" s="8"/>
      <c r="Q32" s="8"/>
      <c r="T32" s="9"/>
    </row>
    <row r="33" spans="1:23" x14ac:dyDescent="0.25">
      <c r="A33">
        <f t="shared" si="0"/>
        <v>58139</v>
      </c>
      <c r="B33">
        <v>29</v>
      </c>
      <c r="C33" t="s">
        <v>223</v>
      </c>
      <c r="D33">
        <v>720</v>
      </c>
      <c r="E33" s="5">
        <v>1611266400</v>
      </c>
      <c r="F33">
        <f t="shared" si="1"/>
        <v>1233</v>
      </c>
      <c r="I33" s="1"/>
      <c r="J33" s="1"/>
      <c r="K33" s="10"/>
      <c r="L33" s="14"/>
      <c r="O33" s="1"/>
      <c r="P33" s="8"/>
      <c r="Q33" s="8"/>
      <c r="T33" s="3"/>
    </row>
    <row r="34" spans="1:23" x14ac:dyDescent="0.25">
      <c r="A34">
        <f t="shared" si="0"/>
        <v>59808</v>
      </c>
      <c r="B34">
        <v>30</v>
      </c>
      <c r="C34" t="s">
        <v>224</v>
      </c>
      <c r="D34">
        <v>672</v>
      </c>
      <c r="E34" s="5">
        <v>1609290000</v>
      </c>
      <c r="F34">
        <f t="shared" si="1"/>
        <v>1315</v>
      </c>
      <c r="I34" s="1"/>
      <c r="J34" s="1"/>
      <c r="K34" s="10"/>
      <c r="L34" s="14"/>
      <c r="O34" s="2"/>
      <c r="P34" s="3"/>
      <c r="Q34" s="3"/>
      <c r="T34" s="3"/>
    </row>
    <row r="35" spans="1:23" x14ac:dyDescent="0.25">
      <c r="A35">
        <f t="shared" si="0"/>
        <v>55555</v>
      </c>
      <c r="B35">
        <v>31</v>
      </c>
      <c r="C35" t="s">
        <v>225</v>
      </c>
      <c r="D35">
        <v>800</v>
      </c>
      <c r="E35" s="5">
        <v>1611266400</v>
      </c>
      <c r="F35">
        <f t="shared" si="1"/>
        <v>1117</v>
      </c>
      <c r="I35" s="1"/>
      <c r="J35" s="1"/>
      <c r="K35" s="10"/>
      <c r="L35" s="1"/>
      <c r="T35" s="3"/>
      <c r="U35" s="6"/>
      <c r="V35" s="6"/>
    </row>
    <row r="36" spans="1:23" x14ac:dyDescent="0.25">
      <c r="I36" s="1"/>
      <c r="J36" s="1"/>
      <c r="K36" s="10"/>
      <c r="L36" s="1"/>
      <c r="T36" s="3"/>
    </row>
    <row r="37" spans="1:23" x14ac:dyDescent="0.25">
      <c r="I37" s="1"/>
      <c r="J37" s="1"/>
      <c r="K37" s="2"/>
      <c r="L37" s="1"/>
      <c r="T37" s="3"/>
    </row>
    <row r="38" spans="1:23" x14ac:dyDescent="0.25">
      <c r="E38" s="5"/>
      <c r="W38" s="6"/>
    </row>
    <row r="39" spans="1:23" x14ac:dyDescent="0.25">
      <c r="K39" s="9"/>
      <c r="L39" s="9"/>
    </row>
    <row r="40" spans="1:23" x14ac:dyDescent="0.25">
      <c r="K40" s="1"/>
      <c r="L40" s="8"/>
    </row>
    <row r="41" spans="1:23" x14ac:dyDescent="0.25">
      <c r="K41" s="1"/>
      <c r="L41" s="8"/>
    </row>
    <row r="42" spans="1:23" x14ac:dyDescent="0.25">
      <c r="K42" s="1"/>
      <c r="L42" s="8"/>
    </row>
    <row r="43" spans="1:23" x14ac:dyDescent="0.25">
      <c r="K43" s="1"/>
      <c r="L43" s="8"/>
    </row>
    <row r="44" spans="1:23" x14ac:dyDescent="0.25">
      <c r="I44" s="4"/>
      <c r="K44" s="1"/>
      <c r="L44" s="8"/>
    </row>
    <row r="45" spans="1:23" x14ac:dyDescent="0.25">
      <c r="D45" s="4"/>
      <c r="K45" s="2"/>
      <c r="L45" s="3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2FE2B8-0133-42FC-B8F8-CFAFB6B75C79}">
  <sheetPr codeName="Sheet5"/>
  <dimension ref="B1:V65"/>
  <sheetViews>
    <sheetView zoomScale="75" zoomScaleNormal="75" workbookViewId="0">
      <selection activeCell="F4" sqref="F4:F36"/>
    </sheetView>
  </sheetViews>
  <sheetFormatPr defaultRowHeight="15" x14ac:dyDescent="0.25"/>
  <cols>
    <col min="3" max="3" width="25.5703125" customWidth="1"/>
    <col min="4" max="4" width="16.85546875" bestFit="1" customWidth="1"/>
    <col min="5" max="5" width="13.28515625" customWidth="1"/>
    <col min="6" max="6" width="9.140625" customWidth="1"/>
    <col min="7" max="8" width="11.85546875" customWidth="1"/>
    <col min="10" max="10" width="10.28515625" customWidth="1"/>
    <col min="11" max="11" width="12.7109375" customWidth="1"/>
    <col min="12" max="12" width="20.5703125" customWidth="1"/>
    <col min="13" max="13" width="13.28515625" customWidth="1"/>
    <col min="14" max="14" width="16.7109375" customWidth="1"/>
    <col min="15" max="15" width="25" customWidth="1"/>
    <col min="16" max="16" width="16.85546875" customWidth="1"/>
    <col min="17" max="17" width="16.7109375" customWidth="1"/>
    <col min="18" max="18" width="14.7109375" customWidth="1"/>
    <col min="19" max="19" width="11" customWidth="1"/>
    <col min="21" max="23" width="10.28515625" bestFit="1" customWidth="1"/>
    <col min="24" max="26" width="11.42578125" customWidth="1"/>
    <col min="27" max="32" width="12" customWidth="1"/>
    <col min="33" max="33" width="12" bestFit="1" customWidth="1"/>
    <col min="34" max="34" width="12.5703125" bestFit="1" customWidth="1"/>
    <col min="35" max="35" width="11.42578125" customWidth="1"/>
    <col min="41" max="41" width="12" bestFit="1" customWidth="1"/>
    <col min="43" max="43" width="10.5703125" bestFit="1" customWidth="1"/>
    <col min="49" max="49" width="12" bestFit="1" customWidth="1"/>
    <col min="51" max="51" width="10.5703125" bestFit="1" customWidth="1"/>
  </cols>
  <sheetData>
    <row r="1" spans="2:22" x14ac:dyDescent="0.25">
      <c r="C1" s="1" t="s">
        <v>52</v>
      </c>
      <c r="E1" s="122" t="s">
        <v>210</v>
      </c>
      <c r="F1" s="93"/>
      <c r="G1" s="93"/>
    </row>
    <row r="2" spans="2:22" x14ac:dyDescent="0.25">
      <c r="M2">
        <v>1</v>
      </c>
    </row>
    <row r="3" spans="2:22" x14ac:dyDescent="0.25">
      <c r="S3" s="2"/>
      <c r="U3" s="2"/>
      <c r="V3" s="2"/>
    </row>
    <row r="4" spans="2:22" x14ac:dyDescent="0.25">
      <c r="B4">
        <v>0</v>
      </c>
      <c r="C4" t="s">
        <v>1</v>
      </c>
      <c r="D4">
        <v>999</v>
      </c>
      <c r="E4" s="5">
        <v>1611266400</v>
      </c>
      <c r="F4">
        <f>INT(INT(1000000/(MOD(D4,10000)+50))*IF(D4&gt;10000,0.9,0.95))</f>
        <v>905</v>
      </c>
      <c r="S4" s="6"/>
    </row>
    <row r="5" spans="2:22" ht="15.75" thickBot="1" x14ac:dyDescent="0.3">
      <c r="B5">
        <v>1</v>
      </c>
      <c r="C5" t="s">
        <v>2</v>
      </c>
      <c r="D5">
        <v>10500</v>
      </c>
      <c r="E5" s="5">
        <v>1611266400</v>
      </c>
      <c r="F5">
        <f t="shared" ref="F5:F35" si="0">INT(INT(1000000/(MOD(D5,10000)+50))*IF(D5&gt;10000,0.9,0.95))</f>
        <v>1636</v>
      </c>
      <c r="G5" t="s">
        <v>211</v>
      </c>
      <c r="H5" s="2" t="s">
        <v>113</v>
      </c>
      <c r="I5" s="2" t="s">
        <v>191</v>
      </c>
      <c r="J5" s="2" t="s">
        <v>182</v>
      </c>
      <c r="K5" s="2" t="s">
        <v>192</v>
      </c>
      <c r="L5" s="2" t="s">
        <v>193</v>
      </c>
      <c r="M5" s="2" t="s">
        <v>205</v>
      </c>
      <c r="N5" s="2" t="s">
        <v>196</v>
      </c>
      <c r="O5" s="2" t="s">
        <v>83</v>
      </c>
      <c r="P5" s="2" t="s">
        <v>84</v>
      </c>
      <c r="S5" s="6"/>
    </row>
    <row r="6" spans="2:22" x14ac:dyDescent="0.25">
      <c r="B6">
        <v>2</v>
      </c>
      <c r="C6" t="s">
        <v>3</v>
      </c>
      <c r="D6">
        <v>500</v>
      </c>
      <c r="E6" s="5">
        <v>1611266400</v>
      </c>
      <c r="F6">
        <f t="shared" si="0"/>
        <v>1727</v>
      </c>
      <c r="H6" s="104">
        <v>3</v>
      </c>
      <c r="I6" s="68">
        <v>0</v>
      </c>
      <c r="J6" s="68">
        <v>0</v>
      </c>
      <c r="K6" s="68">
        <v>1000</v>
      </c>
      <c r="L6" s="68">
        <f>MOD(D4,10000)</f>
        <v>999</v>
      </c>
      <c r="M6" s="68"/>
      <c r="N6" s="68"/>
      <c r="O6" t="s">
        <v>207</v>
      </c>
      <c r="S6" s="6"/>
    </row>
    <row r="7" spans="2:22" x14ac:dyDescent="0.25">
      <c r="B7">
        <v>3</v>
      </c>
      <c r="C7" t="s">
        <v>4</v>
      </c>
      <c r="D7">
        <v>919</v>
      </c>
      <c r="E7" s="5">
        <v>1611266400</v>
      </c>
      <c r="F7">
        <f t="shared" si="0"/>
        <v>979</v>
      </c>
      <c r="H7" s="110">
        <v>2</v>
      </c>
      <c r="I7">
        <v>0</v>
      </c>
      <c r="J7">
        <v>1</v>
      </c>
      <c r="K7">
        <v>1000</v>
      </c>
      <c r="L7">
        <f>F4</f>
        <v>905</v>
      </c>
      <c r="M7" s="4">
        <f>INT(K7+L7*0.95)</f>
        <v>1859</v>
      </c>
      <c r="N7" s="121">
        <f>L7*K7/1000*0.05</f>
        <v>45.25</v>
      </c>
      <c r="O7" s="26" t="s">
        <v>78</v>
      </c>
      <c r="S7" s="6"/>
    </row>
    <row r="8" spans="2:22" ht="15.75" thickBot="1" x14ac:dyDescent="0.3">
      <c r="B8">
        <v>4</v>
      </c>
      <c r="C8" t="s">
        <v>5</v>
      </c>
      <c r="D8">
        <v>909</v>
      </c>
      <c r="E8" s="5">
        <v>1611266400</v>
      </c>
      <c r="F8">
        <f t="shared" si="0"/>
        <v>989</v>
      </c>
      <c r="H8" s="106">
        <v>2</v>
      </c>
      <c r="I8" s="107">
        <v>2</v>
      </c>
      <c r="J8" s="107">
        <v>1</v>
      </c>
      <c r="K8" s="107">
        <v>1000</v>
      </c>
      <c r="L8" s="111">
        <f>F6</f>
        <v>1727</v>
      </c>
      <c r="M8" s="58">
        <f>INT(K8+L8*0.95)</f>
        <v>2640</v>
      </c>
      <c r="N8" s="108">
        <f>L8*K8/1000*0.05</f>
        <v>86.350000000000009</v>
      </c>
      <c r="O8" s="26" t="s">
        <v>114</v>
      </c>
      <c r="S8" s="6"/>
    </row>
    <row r="9" spans="2:22" x14ac:dyDescent="0.25">
      <c r="B9">
        <v>5</v>
      </c>
      <c r="C9" t="s">
        <v>6</v>
      </c>
      <c r="D9">
        <v>800</v>
      </c>
      <c r="E9" s="5">
        <v>1609290000</v>
      </c>
      <c r="F9">
        <f t="shared" si="0"/>
        <v>1117</v>
      </c>
      <c r="H9" s="1"/>
      <c r="K9" s="4">
        <f>SUM(K6:K8)</f>
        <v>3000</v>
      </c>
      <c r="L9" s="4">
        <f>SUM(L6:L8)</f>
        <v>3631</v>
      </c>
      <c r="M9" s="103">
        <f>M8+M7</f>
        <v>4499</v>
      </c>
      <c r="N9" s="4"/>
      <c r="S9" s="6"/>
    </row>
    <row r="10" spans="2:22" x14ac:dyDescent="0.25">
      <c r="B10">
        <v>6</v>
      </c>
      <c r="C10" t="s">
        <v>7</v>
      </c>
      <c r="D10">
        <v>510</v>
      </c>
      <c r="E10" s="5">
        <v>1611266400</v>
      </c>
      <c r="F10">
        <f t="shared" si="0"/>
        <v>1695</v>
      </c>
      <c r="S10" s="6"/>
      <c r="U10" s="2"/>
      <c r="V10" s="2"/>
    </row>
    <row r="11" spans="2:22" x14ac:dyDescent="0.25">
      <c r="B11">
        <v>7</v>
      </c>
      <c r="C11" t="s">
        <v>8</v>
      </c>
      <c r="D11">
        <v>739</v>
      </c>
      <c r="E11" s="5">
        <v>1611266400</v>
      </c>
      <c r="F11">
        <f t="shared" si="0"/>
        <v>1203</v>
      </c>
      <c r="J11" s="1" t="s">
        <v>208</v>
      </c>
      <c r="S11" s="6"/>
    </row>
    <row r="12" spans="2:22" x14ac:dyDescent="0.25">
      <c r="B12">
        <v>8</v>
      </c>
      <c r="C12" t="s">
        <v>9</v>
      </c>
      <c r="D12">
        <v>620</v>
      </c>
      <c r="E12" s="5">
        <v>1611266400</v>
      </c>
      <c r="F12">
        <f t="shared" si="0"/>
        <v>1417</v>
      </c>
      <c r="H12" s="2" t="s">
        <v>113</v>
      </c>
      <c r="I12" s="2" t="s">
        <v>191</v>
      </c>
      <c r="J12" s="2" t="s">
        <v>182</v>
      </c>
      <c r="K12" s="2" t="s">
        <v>192</v>
      </c>
      <c r="L12" s="2" t="s">
        <v>194</v>
      </c>
      <c r="M12" s="2" t="s">
        <v>205</v>
      </c>
      <c r="N12" s="2"/>
      <c r="S12" s="6"/>
    </row>
    <row r="13" spans="2:22" x14ac:dyDescent="0.25">
      <c r="B13">
        <v>9</v>
      </c>
      <c r="C13" t="s">
        <v>10</v>
      </c>
      <c r="D13">
        <v>960</v>
      </c>
      <c r="E13" s="5">
        <v>1611266400</v>
      </c>
      <c r="F13">
        <f t="shared" si="0"/>
        <v>940</v>
      </c>
      <c r="G13" t="s">
        <v>203</v>
      </c>
      <c r="H13" s="1">
        <v>2</v>
      </c>
      <c r="I13">
        <v>2</v>
      </c>
      <c r="J13">
        <v>0</v>
      </c>
      <c r="K13">
        <v>1000</v>
      </c>
      <c r="L13">
        <v>2500</v>
      </c>
      <c r="M13" s="4"/>
      <c r="N13" s="8"/>
      <c r="S13" s="6"/>
    </row>
    <row r="14" spans="2:22" x14ac:dyDescent="0.25">
      <c r="B14">
        <v>10</v>
      </c>
      <c r="C14" t="s">
        <v>11</v>
      </c>
      <c r="D14">
        <v>650</v>
      </c>
      <c r="E14" s="5">
        <v>1609290000</v>
      </c>
      <c r="F14">
        <f t="shared" si="0"/>
        <v>1356</v>
      </c>
      <c r="G14" t="s">
        <v>203</v>
      </c>
      <c r="H14" s="1">
        <v>2</v>
      </c>
      <c r="I14">
        <v>3</v>
      </c>
      <c r="J14">
        <v>0</v>
      </c>
      <c r="K14" s="93">
        <v>1000</v>
      </c>
      <c r="L14">
        <v>1950</v>
      </c>
      <c r="M14" s="103">
        <f>INT(K14+K14*(L14-1000)/1000*0.95)*0</f>
        <v>0</v>
      </c>
      <c r="N14" s="8"/>
    </row>
    <row r="15" spans="2:22" x14ac:dyDescent="0.25">
      <c r="B15">
        <v>11</v>
      </c>
      <c r="C15" t="s">
        <v>12</v>
      </c>
      <c r="D15">
        <v>688</v>
      </c>
      <c r="E15" s="5">
        <v>1611266400</v>
      </c>
      <c r="F15">
        <f t="shared" si="0"/>
        <v>1287</v>
      </c>
      <c r="G15" t="s">
        <v>203</v>
      </c>
      <c r="H15" s="1">
        <v>2</v>
      </c>
      <c r="I15">
        <v>3</v>
      </c>
      <c r="J15">
        <v>0</v>
      </c>
      <c r="K15">
        <v>3000</v>
      </c>
      <c r="L15">
        <v>2000</v>
      </c>
      <c r="M15" s="4">
        <f>INT(K15+K15*(L15-1000)/1000*0.95)*0</f>
        <v>0</v>
      </c>
      <c r="O15" t="s">
        <v>206</v>
      </c>
    </row>
    <row r="16" spans="2:22" x14ac:dyDescent="0.25">
      <c r="B16">
        <v>12</v>
      </c>
      <c r="C16" t="s">
        <v>13</v>
      </c>
      <c r="D16">
        <v>970</v>
      </c>
      <c r="E16" s="5">
        <v>1611266400</v>
      </c>
      <c r="F16">
        <f t="shared" si="0"/>
        <v>931</v>
      </c>
    </row>
    <row r="17" spans="2:22" ht="15.75" thickBot="1" x14ac:dyDescent="0.3">
      <c r="B17">
        <v>13</v>
      </c>
      <c r="C17" t="s">
        <v>14</v>
      </c>
      <c r="D17">
        <v>730</v>
      </c>
      <c r="E17" s="5">
        <v>1611266400</v>
      </c>
      <c r="F17">
        <f t="shared" si="0"/>
        <v>1217</v>
      </c>
      <c r="J17" t="s">
        <v>209</v>
      </c>
      <c r="U17" s="2"/>
      <c r="V17" s="2"/>
    </row>
    <row r="18" spans="2:22" ht="15.75" thickBot="1" x14ac:dyDescent="0.3">
      <c r="B18">
        <v>14</v>
      </c>
      <c r="C18" t="s">
        <v>15</v>
      </c>
      <c r="D18">
        <v>699</v>
      </c>
      <c r="E18" s="5">
        <v>1611266400</v>
      </c>
      <c r="F18">
        <f t="shared" si="0"/>
        <v>1268</v>
      </c>
      <c r="G18" t="s">
        <v>204</v>
      </c>
      <c r="H18" s="104">
        <v>3</v>
      </c>
      <c r="I18" s="68">
        <v>2</v>
      </c>
      <c r="J18" s="68">
        <v>1</v>
      </c>
      <c r="K18" s="55">
        <f>(L13-1000)/1000*K13</f>
        <v>1500</v>
      </c>
      <c r="L18" s="55">
        <f>(1+K13/K18)*1000</f>
        <v>1666.6666666666665</v>
      </c>
      <c r="M18" s="105">
        <f>INT(K18+(L18-1000)*0.95/1000*K18)</f>
        <v>2450</v>
      </c>
      <c r="N18" s="109">
        <f>K18*(L18-1000)/1000*0.05</f>
        <v>49.999999999999993</v>
      </c>
      <c r="O18" s="26">
        <f>K18</f>
        <v>1500</v>
      </c>
      <c r="S18" s="7"/>
    </row>
    <row r="19" spans="2:22" ht="15.75" thickBot="1" x14ac:dyDescent="0.3">
      <c r="B19">
        <v>15</v>
      </c>
      <c r="C19" t="s">
        <v>16</v>
      </c>
      <c r="D19">
        <v>884</v>
      </c>
      <c r="E19" s="5">
        <v>1609290000</v>
      </c>
      <c r="F19">
        <f t="shared" si="0"/>
        <v>1016</v>
      </c>
      <c r="G19" t="s">
        <v>204</v>
      </c>
      <c r="H19" s="106">
        <v>3</v>
      </c>
      <c r="I19" s="107">
        <v>3</v>
      </c>
      <c r="J19" s="107">
        <v>1</v>
      </c>
      <c r="K19" s="58">
        <f>(L14-1000)/1000*K14</f>
        <v>950</v>
      </c>
      <c r="L19" s="58">
        <f>(1+K14/K19)*1000</f>
        <v>2052.6315789473683</v>
      </c>
      <c r="M19" s="105">
        <f>INT(K19+(L19-1000)*0.95/1000*K19)</f>
        <v>1900</v>
      </c>
      <c r="N19" s="109">
        <f>K19*(L19-1000)/1000*0.05</f>
        <v>50</v>
      </c>
      <c r="S19" s="6"/>
    </row>
    <row r="20" spans="2:22" ht="15.75" thickBot="1" x14ac:dyDescent="0.3">
      <c r="B20">
        <v>16</v>
      </c>
      <c r="C20" t="s">
        <v>17</v>
      </c>
      <c r="D20">
        <v>520</v>
      </c>
      <c r="E20" s="5">
        <v>1611266400</v>
      </c>
      <c r="F20">
        <f t="shared" si="0"/>
        <v>1666</v>
      </c>
      <c r="J20" t="s">
        <v>200</v>
      </c>
      <c r="K20" t="s">
        <v>199</v>
      </c>
      <c r="L20" s="26"/>
      <c r="S20" s="6"/>
    </row>
    <row r="21" spans="2:22" x14ac:dyDescent="0.25">
      <c r="B21">
        <v>17</v>
      </c>
      <c r="C21" t="s">
        <v>18</v>
      </c>
      <c r="D21">
        <v>901</v>
      </c>
      <c r="E21" s="5">
        <v>1611266400</v>
      </c>
      <c r="F21">
        <f t="shared" si="0"/>
        <v>998</v>
      </c>
      <c r="I21" t="s">
        <v>195</v>
      </c>
      <c r="J21" s="4">
        <v>10000</v>
      </c>
      <c r="K21" s="117">
        <f>J21-M9+K6+K7+K8-N7-N8</f>
        <v>8369.4</v>
      </c>
      <c r="M21" s="4"/>
      <c r="O21" s="3"/>
      <c r="S21" s="6"/>
    </row>
    <row r="22" spans="2:22" x14ac:dyDescent="0.25">
      <c r="B22">
        <v>18</v>
      </c>
      <c r="C22" t="s">
        <v>19</v>
      </c>
      <c r="D22">
        <v>620</v>
      </c>
      <c r="E22" s="5">
        <v>1611266400</v>
      </c>
      <c r="F22">
        <f t="shared" si="0"/>
        <v>1417</v>
      </c>
      <c r="M22" s="4"/>
      <c r="Q22" s="17"/>
      <c r="S22" s="6"/>
    </row>
    <row r="23" spans="2:22" x14ac:dyDescent="0.25">
      <c r="B23">
        <v>19</v>
      </c>
      <c r="C23" t="s">
        <v>20</v>
      </c>
      <c r="D23">
        <v>764</v>
      </c>
      <c r="E23" s="5">
        <v>1611266400</v>
      </c>
      <c r="F23">
        <f t="shared" si="0"/>
        <v>1166</v>
      </c>
      <c r="M23" s="4"/>
      <c r="Q23" s="17"/>
      <c r="S23" s="6"/>
    </row>
    <row r="24" spans="2:22" x14ac:dyDescent="0.25">
      <c r="B24">
        <v>20</v>
      </c>
      <c r="C24" t="s">
        <v>21</v>
      </c>
      <c r="D24">
        <v>851</v>
      </c>
      <c r="E24" s="5">
        <v>1609290000</v>
      </c>
      <c r="F24">
        <f t="shared" si="0"/>
        <v>1053</v>
      </c>
      <c r="I24" t="s">
        <v>198</v>
      </c>
      <c r="K24" s="112">
        <f>(N7+N8+N18+N19)/10</f>
        <v>23.160000000000004</v>
      </c>
      <c r="L24">
        <v>28.635000000000002</v>
      </c>
      <c r="M24" s="3">
        <f>K24-L24</f>
        <v>-5.4749999999999979</v>
      </c>
      <c r="Q24" s="17"/>
      <c r="U24" s="2"/>
      <c r="V24" s="2"/>
    </row>
    <row r="25" spans="2:22" ht="15.75" thickBot="1" x14ac:dyDescent="0.3">
      <c r="B25">
        <v>21</v>
      </c>
      <c r="C25" t="s">
        <v>95</v>
      </c>
      <c r="D25">
        <v>820</v>
      </c>
      <c r="E25" s="5">
        <v>1611266400</v>
      </c>
      <c r="F25">
        <f t="shared" si="0"/>
        <v>1091</v>
      </c>
      <c r="I25" t="s">
        <v>197</v>
      </c>
      <c r="K25" s="119">
        <f>(J27+J26+J21-K24)/10</f>
        <v>4997.6839999999993</v>
      </c>
      <c r="M25" s="4"/>
    </row>
    <row r="26" spans="2:22" x14ac:dyDescent="0.25">
      <c r="B26">
        <v>22</v>
      </c>
      <c r="C26" t="s">
        <v>96</v>
      </c>
      <c r="D26">
        <v>770</v>
      </c>
      <c r="E26" s="5">
        <v>1611266400</v>
      </c>
      <c r="F26">
        <f t="shared" si="0"/>
        <v>1158</v>
      </c>
      <c r="H26" s="103">
        <v>20590</v>
      </c>
      <c r="I26" t="s">
        <v>83</v>
      </c>
      <c r="J26" s="4">
        <v>20000</v>
      </c>
      <c r="K26" s="120">
        <f>J26-K7-K8+M7+M8-K13+M14-K14</f>
        <v>20499</v>
      </c>
      <c r="M26" s="26"/>
    </row>
    <row r="27" spans="2:22" x14ac:dyDescent="0.25">
      <c r="B27">
        <v>23</v>
      </c>
      <c r="C27" t="s">
        <v>97</v>
      </c>
      <c r="D27">
        <v>790</v>
      </c>
      <c r="E27" s="5">
        <v>1611266400</v>
      </c>
      <c r="F27">
        <f t="shared" si="0"/>
        <v>1130</v>
      </c>
      <c r="H27" s="103">
        <v>10900</v>
      </c>
      <c r="I27" t="s">
        <v>84</v>
      </c>
      <c r="J27" s="4">
        <v>20000</v>
      </c>
      <c r="K27" s="118">
        <f>J27-K6-K18-K19+M18+M19</f>
        <v>20900</v>
      </c>
      <c r="L27" s="3"/>
      <c r="M27" s="26"/>
    </row>
    <row r="28" spans="2:22" x14ac:dyDescent="0.25">
      <c r="B28">
        <v>24</v>
      </c>
      <c r="C28" t="s">
        <v>98</v>
      </c>
      <c r="D28">
        <v>730</v>
      </c>
      <c r="E28" s="5">
        <v>1611266400</v>
      </c>
      <c r="F28">
        <f t="shared" si="0"/>
        <v>1217</v>
      </c>
      <c r="L28" s="3"/>
    </row>
    <row r="29" spans="2:22" x14ac:dyDescent="0.25">
      <c r="B29">
        <v>25</v>
      </c>
      <c r="C29" t="s">
        <v>99</v>
      </c>
      <c r="D29">
        <v>690</v>
      </c>
      <c r="E29" s="5">
        <v>1609290000</v>
      </c>
      <c r="F29">
        <f t="shared" si="0"/>
        <v>1283</v>
      </c>
      <c r="L29" s="3"/>
    </row>
    <row r="30" spans="2:22" x14ac:dyDescent="0.25">
      <c r="B30">
        <v>26</v>
      </c>
      <c r="C30" t="s">
        <v>22</v>
      </c>
      <c r="D30">
        <v>970</v>
      </c>
      <c r="E30" s="5">
        <v>1611266400</v>
      </c>
      <c r="F30">
        <f t="shared" si="0"/>
        <v>931</v>
      </c>
    </row>
    <row r="31" spans="2:22" x14ac:dyDescent="0.25">
      <c r="B31">
        <v>27</v>
      </c>
      <c r="C31" t="s">
        <v>23</v>
      </c>
      <c r="D31">
        <v>760</v>
      </c>
      <c r="E31" s="5">
        <v>1611266400</v>
      </c>
      <c r="F31">
        <f t="shared" si="0"/>
        <v>1172</v>
      </c>
      <c r="U31" s="2"/>
      <c r="V31" s="2"/>
    </row>
    <row r="32" spans="2:22" x14ac:dyDescent="0.25">
      <c r="B32">
        <v>28</v>
      </c>
      <c r="C32" t="s">
        <v>24</v>
      </c>
      <c r="D32">
        <v>919</v>
      </c>
      <c r="E32" s="5">
        <v>1611266400</v>
      </c>
      <c r="F32">
        <f t="shared" si="0"/>
        <v>979</v>
      </c>
    </row>
    <row r="33" spans="2:18" x14ac:dyDescent="0.25">
      <c r="B33">
        <v>29</v>
      </c>
      <c r="C33" t="s">
        <v>25</v>
      </c>
      <c r="D33">
        <v>720</v>
      </c>
      <c r="E33" s="5">
        <v>1611266400</v>
      </c>
      <c r="F33">
        <f t="shared" si="0"/>
        <v>1233</v>
      </c>
    </row>
    <row r="34" spans="2:18" x14ac:dyDescent="0.25">
      <c r="B34">
        <v>30</v>
      </c>
      <c r="C34" t="s">
        <v>26</v>
      </c>
      <c r="D34">
        <v>672</v>
      </c>
      <c r="E34" s="5">
        <v>1609290000</v>
      </c>
      <c r="F34">
        <f t="shared" si="0"/>
        <v>1315</v>
      </c>
    </row>
    <row r="35" spans="2:18" x14ac:dyDescent="0.25">
      <c r="B35">
        <v>31</v>
      </c>
      <c r="C35" t="s">
        <v>27</v>
      </c>
      <c r="D35">
        <v>2111</v>
      </c>
      <c r="E35" s="5">
        <v>1611266400</v>
      </c>
      <c r="F35">
        <f t="shared" si="0"/>
        <v>438</v>
      </c>
    </row>
    <row r="36" spans="2:18" x14ac:dyDescent="0.25">
      <c r="C36" t="s">
        <v>27</v>
      </c>
      <c r="E36" s="5">
        <v>1611266400</v>
      </c>
      <c r="F36">
        <f t="shared" ref="F36:F38" si="1">INT(1000000/(D36+41)-41)</f>
        <v>24349</v>
      </c>
    </row>
    <row r="37" spans="2:18" x14ac:dyDescent="0.25">
      <c r="F37">
        <f t="shared" si="1"/>
        <v>24349</v>
      </c>
    </row>
    <row r="38" spans="2:18" x14ac:dyDescent="0.25">
      <c r="D38">
        <v>1111</v>
      </c>
      <c r="E38" s="5"/>
      <c r="F38">
        <f t="shared" si="1"/>
        <v>827</v>
      </c>
      <c r="R38" s="6"/>
    </row>
    <row r="45" spans="2:18" x14ac:dyDescent="0.25">
      <c r="D45" s="4"/>
    </row>
    <row r="65" spans="11:11" x14ac:dyDescent="0.25">
      <c r="K65">
        <v>3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2BF86-6420-482C-86D0-E244820A1612}">
  <sheetPr codeName="Sheet6"/>
  <dimension ref="C1:G38"/>
  <sheetViews>
    <sheetView zoomScale="75" zoomScaleNormal="75" workbookViewId="0">
      <selection activeCell="F20" sqref="F20"/>
    </sheetView>
  </sheetViews>
  <sheetFormatPr defaultRowHeight="15" x14ac:dyDescent="0.25"/>
  <cols>
    <col min="3" max="3" width="28.28515625" bestFit="1" customWidth="1"/>
    <col min="4" max="4" width="13.28515625" customWidth="1"/>
    <col min="5" max="5" width="51.5703125" bestFit="1" customWidth="1"/>
  </cols>
  <sheetData>
    <row r="1" spans="3:7" x14ac:dyDescent="0.25">
      <c r="C1" s="1" t="s">
        <v>87</v>
      </c>
    </row>
    <row r="3" spans="3:7" x14ac:dyDescent="0.25">
      <c r="C3" t="s">
        <v>61</v>
      </c>
    </row>
    <row r="4" spans="3:7" x14ac:dyDescent="0.25">
      <c r="C4" t="s">
        <v>65</v>
      </c>
      <c r="D4" t="s">
        <v>65</v>
      </c>
    </row>
    <row r="5" spans="3:7" x14ac:dyDescent="0.25">
      <c r="C5" t="s">
        <v>66</v>
      </c>
      <c r="D5" t="s">
        <v>66</v>
      </c>
    </row>
    <row r="6" spans="3:7" x14ac:dyDescent="0.25">
      <c r="C6" t="s">
        <v>67</v>
      </c>
      <c r="D6" t="s">
        <v>67</v>
      </c>
    </row>
    <row r="7" spans="3:7" x14ac:dyDescent="0.25">
      <c r="C7" t="s">
        <v>68</v>
      </c>
      <c r="D7" t="s">
        <v>68</v>
      </c>
    </row>
    <row r="8" spans="3:7" x14ac:dyDescent="0.25">
      <c r="C8" t="s">
        <v>69</v>
      </c>
      <c r="D8" t="s">
        <v>69</v>
      </c>
    </row>
    <row r="9" spans="3:7" x14ac:dyDescent="0.25">
      <c r="C9" t="s">
        <v>70</v>
      </c>
      <c r="D9" t="s">
        <v>70</v>
      </c>
    </row>
    <row r="11" spans="3:7" x14ac:dyDescent="0.25">
      <c r="D11" t="s">
        <v>42</v>
      </c>
      <c r="E11" t="s">
        <v>71</v>
      </c>
      <c r="G11">
        <v>448</v>
      </c>
    </row>
    <row r="12" spans="3:7" x14ac:dyDescent="0.25">
      <c r="D12" t="s">
        <v>43</v>
      </c>
      <c r="E12" t="s">
        <v>54</v>
      </c>
      <c r="G12">
        <v>500</v>
      </c>
    </row>
    <row r="13" spans="3:7" x14ac:dyDescent="0.25">
      <c r="D13" t="s">
        <v>44</v>
      </c>
      <c r="E13" t="s">
        <v>55</v>
      </c>
      <c r="G13">
        <v>600</v>
      </c>
    </row>
    <row r="14" spans="3:7" x14ac:dyDescent="0.25">
      <c r="G14">
        <v>700</v>
      </c>
    </row>
    <row r="15" spans="3:7" x14ac:dyDescent="0.25">
      <c r="C15" t="s">
        <v>74</v>
      </c>
    </row>
    <row r="16" spans="3:7" x14ac:dyDescent="0.25">
      <c r="C16" t="s">
        <v>75</v>
      </c>
    </row>
    <row r="17" spans="3:4" x14ac:dyDescent="0.25">
      <c r="C17" t="s">
        <v>72</v>
      </c>
    </row>
    <row r="18" spans="3:4" x14ac:dyDescent="0.25">
      <c r="D18" t="s">
        <v>85</v>
      </c>
    </row>
    <row r="19" spans="3:4" x14ac:dyDescent="0.25">
      <c r="D19" t="s">
        <v>86</v>
      </c>
    </row>
    <row r="20" spans="3:4" x14ac:dyDescent="0.25">
      <c r="D20" t="s">
        <v>163</v>
      </c>
    </row>
    <row r="22" spans="3:4" x14ac:dyDescent="0.25">
      <c r="C22" t="s">
        <v>76</v>
      </c>
    </row>
    <row r="23" spans="3:4" x14ac:dyDescent="0.25">
      <c r="C23" t="s">
        <v>73</v>
      </c>
    </row>
    <row r="24" spans="3:4" x14ac:dyDescent="0.25">
      <c r="C24">
        <v>243</v>
      </c>
      <c r="D24" t="s">
        <v>146</v>
      </c>
    </row>
    <row r="25" spans="3:4" x14ac:dyDescent="0.25">
      <c r="C25">
        <v>244</v>
      </c>
      <c r="D25" t="s">
        <v>145</v>
      </c>
    </row>
    <row r="26" spans="3:4" x14ac:dyDescent="0.25">
      <c r="C26">
        <v>253</v>
      </c>
      <c r="D26" t="s">
        <v>201</v>
      </c>
    </row>
    <row r="38" spans="7:7" x14ac:dyDescent="0.25">
      <c r="G38">
        <f>20*20</f>
        <v>400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6CD9A8-F3D2-400D-982F-614074AF76AB}">
  <sheetPr codeName="Sheet8"/>
  <dimension ref="B1:V54"/>
  <sheetViews>
    <sheetView zoomScale="75" zoomScaleNormal="75" workbookViewId="0">
      <selection activeCell="E6" sqref="E6"/>
    </sheetView>
  </sheetViews>
  <sheetFormatPr defaultRowHeight="15" x14ac:dyDescent="0.25"/>
  <cols>
    <col min="3" max="3" width="27.7109375" customWidth="1"/>
    <col min="4" max="6" width="20.42578125" customWidth="1"/>
    <col min="7" max="7" width="21.85546875" customWidth="1"/>
    <col min="8" max="8" width="28.7109375" customWidth="1"/>
    <col min="9" max="9" width="29.5703125" customWidth="1"/>
    <col min="10" max="10" width="25.140625" bestFit="1" customWidth="1"/>
    <col min="11" max="14" width="25.140625" customWidth="1"/>
    <col min="15" max="16" width="17.7109375" bestFit="1" customWidth="1"/>
    <col min="17" max="17" width="13.42578125" bestFit="1" customWidth="1"/>
    <col min="18" max="18" width="17.7109375" bestFit="1" customWidth="1"/>
    <col min="19" max="19" width="17.7109375" style="3" bestFit="1" customWidth="1"/>
    <col min="20" max="20" width="11" customWidth="1"/>
    <col min="21" max="21" width="11.85546875" customWidth="1"/>
  </cols>
  <sheetData>
    <row r="1" spans="2:22" x14ac:dyDescent="0.25">
      <c r="B1" s="1" t="s">
        <v>62</v>
      </c>
    </row>
    <row r="2" spans="2:22" x14ac:dyDescent="0.25">
      <c r="G2">
        <f>500/25</f>
        <v>20</v>
      </c>
    </row>
    <row r="3" spans="2:22" x14ac:dyDescent="0.25">
      <c r="B3" s="1" t="s">
        <v>61</v>
      </c>
    </row>
    <row r="4" spans="2:22" x14ac:dyDescent="0.25">
      <c r="C4" t="s">
        <v>63</v>
      </c>
    </row>
    <row r="5" spans="2:22" x14ac:dyDescent="0.25">
      <c r="C5" t="s">
        <v>64</v>
      </c>
    </row>
    <row r="7" spans="2:22" x14ac:dyDescent="0.25">
      <c r="Q7" s="3"/>
      <c r="S7"/>
      <c r="V7" s="3"/>
    </row>
    <row r="8" spans="2:22" x14ac:dyDescent="0.25">
      <c r="C8" s="60"/>
      <c r="G8" t="s">
        <v>235</v>
      </c>
      <c r="H8" t="s">
        <v>234</v>
      </c>
      <c r="I8" t="s">
        <v>237</v>
      </c>
      <c r="P8" s="13"/>
      <c r="Q8" s="13"/>
      <c r="S8"/>
      <c r="U8" s="13"/>
      <c r="V8" s="13"/>
    </row>
    <row r="9" spans="2:22" x14ac:dyDescent="0.25">
      <c r="B9" s="76"/>
      <c r="C9" s="114"/>
      <c r="G9" t="s">
        <v>236</v>
      </c>
      <c r="H9" t="s">
        <v>233</v>
      </c>
      <c r="P9" s="48"/>
      <c r="Q9" s="48"/>
      <c r="S9"/>
      <c r="U9" s="48"/>
      <c r="V9" s="48"/>
    </row>
    <row r="10" spans="2:22" x14ac:dyDescent="0.25">
      <c r="B10" s="76"/>
      <c r="C10" s="60"/>
      <c r="P10" s="48"/>
      <c r="Q10" s="48"/>
      <c r="S10"/>
      <c r="U10" s="48"/>
      <c r="V10" s="48"/>
    </row>
    <row r="11" spans="2:22" x14ac:dyDescent="0.25">
      <c r="C11" s="21"/>
      <c r="G11">
        <v>100</v>
      </c>
      <c r="S11"/>
    </row>
    <row r="12" spans="2:22" x14ac:dyDescent="0.25">
      <c r="C12" s="4"/>
      <c r="S12"/>
    </row>
    <row r="13" spans="2:22" x14ac:dyDescent="0.25">
      <c r="C13" t="s">
        <v>157</v>
      </c>
      <c r="D13">
        <v>1</v>
      </c>
      <c r="E13">
        <v>2</v>
      </c>
      <c r="F13">
        <v>3</v>
      </c>
      <c r="G13">
        <v>4</v>
      </c>
      <c r="H13">
        <v>5</v>
      </c>
      <c r="I13">
        <v>6</v>
      </c>
      <c r="S13"/>
    </row>
    <row r="14" spans="2:22" x14ac:dyDescent="0.25">
      <c r="B14" s="23"/>
      <c r="O14" s="26"/>
      <c r="S14"/>
    </row>
    <row r="15" spans="2:22" x14ac:dyDescent="0.25">
      <c r="C15" t="s">
        <v>148</v>
      </c>
      <c r="O15" s="26"/>
      <c r="S15"/>
    </row>
    <row r="16" spans="2:22" ht="15.75" thickBot="1" x14ac:dyDescent="0.3">
      <c r="D16" s="4"/>
      <c r="E16" s="4"/>
      <c r="F16" s="4"/>
      <c r="G16" s="4"/>
      <c r="H16" s="4"/>
      <c r="I16" s="4"/>
      <c r="J16" s="4"/>
      <c r="S16"/>
    </row>
    <row r="17" spans="3:19" x14ac:dyDescent="0.25">
      <c r="C17" s="31" t="s">
        <v>150</v>
      </c>
      <c r="D17" s="55">
        <v>60000</v>
      </c>
      <c r="E17" s="55">
        <v>60000</v>
      </c>
      <c r="F17" s="55">
        <v>60000</v>
      </c>
      <c r="G17" s="55">
        <v>50000</v>
      </c>
      <c r="H17" s="55">
        <v>50000</v>
      </c>
      <c r="I17" s="56">
        <v>0</v>
      </c>
      <c r="J17" s="4"/>
      <c r="S17"/>
    </row>
    <row r="18" spans="3:19" x14ac:dyDescent="0.25">
      <c r="C18" s="35" t="s">
        <v>151</v>
      </c>
      <c r="D18" s="4">
        <v>40000</v>
      </c>
      <c r="E18" s="4">
        <v>40000</v>
      </c>
      <c r="F18" s="4">
        <v>40000</v>
      </c>
      <c r="G18" s="4">
        <v>35000</v>
      </c>
      <c r="H18" s="4">
        <v>35000</v>
      </c>
      <c r="I18" s="57">
        <v>0</v>
      </c>
      <c r="S18"/>
    </row>
    <row r="19" spans="3:19" x14ac:dyDescent="0.25">
      <c r="C19" s="143" t="s">
        <v>153</v>
      </c>
      <c r="D19" s="144"/>
      <c r="E19" s="144"/>
      <c r="F19" s="144"/>
      <c r="G19" s="144"/>
      <c r="H19" s="144">
        <f>H23/G25</f>
        <v>17258.883248730963</v>
      </c>
      <c r="I19" s="145"/>
      <c r="S19"/>
    </row>
    <row r="20" spans="3:19" ht="15.75" thickBot="1" x14ac:dyDescent="0.3">
      <c r="C20" s="35" t="s">
        <v>149</v>
      </c>
      <c r="D20" s="4">
        <f>SUM(D17:D19)</f>
        <v>100000</v>
      </c>
      <c r="E20" s="4">
        <f>SUM(E17:E19)</f>
        <v>100000</v>
      </c>
      <c r="F20" s="4">
        <f>SUM(F17:F19)</f>
        <v>100000</v>
      </c>
      <c r="G20" s="4">
        <f>SUM(G17:G19)</f>
        <v>85000</v>
      </c>
      <c r="H20" s="4">
        <f>SUM(H17:H19)</f>
        <v>102258.88324873097</v>
      </c>
      <c r="I20" s="57"/>
      <c r="S20"/>
    </row>
    <row r="21" spans="3:19" x14ac:dyDescent="0.25">
      <c r="C21" s="31" t="s">
        <v>154</v>
      </c>
      <c r="D21" s="55">
        <v>60000</v>
      </c>
      <c r="E21" s="55">
        <f>E17/E20*E24</f>
        <v>63000</v>
      </c>
      <c r="F21" s="55">
        <f>F17/F20*F24</f>
        <v>66000</v>
      </c>
      <c r="G21" s="55">
        <f>G17/G20*G24</f>
        <v>57941.176470588238</v>
      </c>
      <c r="H21" s="55">
        <f>H17/H20*H24</f>
        <v>60385.951849094068</v>
      </c>
      <c r="I21" s="56"/>
      <c r="O21" s="26"/>
      <c r="S21"/>
    </row>
    <row r="22" spans="3:19" x14ac:dyDescent="0.25">
      <c r="C22" s="35" t="s">
        <v>155</v>
      </c>
      <c r="D22" s="4">
        <v>40000</v>
      </c>
      <c r="E22" s="4">
        <f>E18/E20*E24</f>
        <v>42000</v>
      </c>
      <c r="F22" s="4">
        <f>F18/F20*F24</f>
        <v>44000</v>
      </c>
      <c r="G22" s="4">
        <f>G18/G20*G24</f>
        <v>40558.823529411762</v>
      </c>
      <c r="H22" s="4">
        <f>H18/H20*H24</f>
        <v>42270.166294365845</v>
      </c>
      <c r="I22" s="57"/>
      <c r="O22" s="26"/>
      <c r="S22"/>
    </row>
    <row r="23" spans="3:19" x14ac:dyDescent="0.25">
      <c r="C23" s="143" t="s">
        <v>156</v>
      </c>
      <c r="D23" s="144"/>
      <c r="E23" s="144"/>
      <c r="F23" s="144"/>
      <c r="G23" s="144"/>
      <c r="H23" s="144">
        <v>20000</v>
      </c>
      <c r="I23" s="145"/>
      <c r="O23" s="26"/>
      <c r="S23"/>
    </row>
    <row r="24" spans="3:19" x14ac:dyDescent="0.25">
      <c r="C24" s="35" t="s">
        <v>147</v>
      </c>
      <c r="D24" s="4">
        <f>D21+D22</f>
        <v>100000</v>
      </c>
      <c r="E24" s="4">
        <v>105000</v>
      </c>
      <c r="F24" s="4">
        <f>E24+5000</f>
        <v>110000</v>
      </c>
      <c r="G24" s="4">
        <f>F24+5000+(G17-F17)*F25+(G18-F18)*F25</f>
        <v>98500</v>
      </c>
      <c r="H24" s="4">
        <f>G24+5000+H23</f>
        <v>123500</v>
      </c>
      <c r="I24" s="57">
        <f>H24+5000</f>
        <v>128500</v>
      </c>
      <c r="S24"/>
    </row>
    <row r="25" spans="3:19" ht="15.75" thickBot="1" x14ac:dyDescent="0.3">
      <c r="C25" s="39" t="s">
        <v>152</v>
      </c>
      <c r="D25" s="92">
        <f t="shared" ref="D25:I25" si="0">D24/D20</f>
        <v>1</v>
      </c>
      <c r="E25" s="92">
        <f t="shared" si="0"/>
        <v>1.05</v>
      </c>
      <c r="F25" s="92">
        <f t="shared" si="0"/>
        <v>1.1000000000000001</v>
      </c>
      <c r="G25" s="92">
        <f t="shared" si="0"/>
        <v>1.1588235294117648</v>
      </c>
      <c r="H25" s="92">
        <f t="shared" si="0"/>
        <v>1.2077190369818813</v>
      </c>
      <c r="I25" s="74" t="e">
        <f t="shared" si="0"/>
        <v>#DIV/0!</v>
      </c>
      <c r="S25"/>
    </row>
    <row r="26" spans="3:19" ht="15.75" thickBot="1" x14ac:dyDescent="0.3">
      <c r="D26" s="4"/>
      <c r="E26" s="4"/>
      <c r="F26" s="4"/>
      <c r="G26" s="4"/>
      <c r="H26" s="4"/>
      <c r="I26" s="4"/>
      <c r="Q26" s="115"/>
      <c r="S26"/>
    </row>
    <row r="27" spans="3:19" x14ac:dyDescent="0.25">
      <c r="C27" s="31" t="s">
        <v>230</v>
      </c>
      <c r="D27" s="55">
        <v>510000000</v>
      </c>
      <c r="E27" s="55">
        <v>522000000</v>
      </c>
      <c r="F27" s="55">
        <v>534000000</v>
      </c>
      <c r="G27" s="55">
        <v>545764705</v>
      </c>
      <c r="H27" s="55">
        <v>545764705</v>
      </c>
      <c r="I27" s="105">
        <v>555543890</v>
      </c>
      <c r="O27" s="26"/>
      <c r="Q27" s="115"/>
      <c r="S27"/>
    </row>
    <row r="28" spans="3:19" x14ac:dyDescent="0.25">
      <c r="C28" s="35" t="s">
        <v>231</v>
      </c>
      <c r="D28" s="4"/>
      <c r="E28" s="4">
        <v>8000000</v>
      </c>
      <c r="F28" s="4">
        <v>16000000</v>
      </c>
      <c r="G28" s="4">
        <v>24235294</v>
      </c>
      <c r="H28" s="4">
        <v>31080724</v>
      </c>
      <c r="I28" s="103">
        <v>37926154</v>
      </c>
      <c r="O28" s="26"/>
      <c r="S28"/>
    </row>
    <row r="29" spans="3:19" x14ac:dyDescent="0.25">
      <c r="C29" s="143" t="s">
        <v>232</v>
      </c>
      <c r="D29" s="144"/>
      <c r="E29" s="144"/>
      <c r="F29" s="144"/>
      <c r="G29" s="144"/>
      <c r="H29" s="144">
        <v>3375383</v>
      </c>
      <c r="I29" s="146">
        <v>6750766</v>
      </c>
      <c r="S29"/>
    </row>
    <row r="30" spans="3:19" ht="15.75" thickBot="1" x14ac:dyDescent="0.3">
      <c r="C30" s="39"/>
      <c r="D30" s="58">
        <v>510000000</v>
      </c>
      <c r="E30" s="58">
        <v>530000000</v>
      </c>
      <c r="F30" s="58">
        <v>550000000</v>
      </c>
      <c r="G30" s="58">
        <v>569999999</v>
      </c>
      <c r="H30" s="58">
        <v>584223916</v>
      </c>
      <c r="I30" s="58"/>
      <c r="S30"/>
    </row>
    <row r="31" spans="3:19" x14ac:dyDescent="0.25">
      <c r="C31" s="31" t="s">
        <v>230</v>
      </c>
      <c r="D31" s="55">
        <f>D27</f>
        <v>510000000</v>
      </c>
      <c r="E31" s="55">
        <f>E27-D27</f>
        <v>12000000</v>
      </c>
      <c r="F31" s="55">
        <f t="shared" ref="F31:H31" si="1">F27-E27</f>
        <v>12000000</v>
      </c>
      <c r="G31" s="55">
        <f t="shared" si="1"/>
        <v>11764705</v>
      </c>
      <c r="H31" s="55">
        <f t="shared" si="1"/>
        <v>0</v>
      </c>
      <c r="I31" s="55">
        <f t="shared" ref="I31" si="2">I27-H27</f>
        <v>9779185</v>
      </c>
      <c r="S31"/>
    </row>
    <row r="32" spans="3:19" x14ac:dyDescent="0.25">
      <c r="C32" s="35" t="s">
        <v>231</v>
      </c>
      <c r="D32" s="4">
        <v>0</v>
      </c>
      <c r="E32" s="4">
        <f t="shared" ref="E32:H32" si="3">E28-D28</f>
        <v>8000000</v>
      </c>
      <c r="F32" s="4">
        <f t="shared" si="3"/>
        <v>8000000</v>
      </c>
      <c r="G32" s="4">
        <f t="shared" si="3"/>
        <v>8235294</v>
      </c>
      <c r="H32" s="4">
        <f t="shared" si="3"/>
        <v>6845430</v>
      </c>
      <c r="I32" s="4">
        <f t="shared" ref="I32" si="4">I28-H28</f>
        <v>6845430</v>
      </c>
      <c r="S32"/>
    </row>
    <row r="33" spans="3:19" x14ac:dyDescent="0.25">
      <c r="C33" s="143" t="s">
        <v>232</v>
      </c>
      <c r="D33" s="144"/>
      <c r="E33" s="144">
        <f t="shared" ref="E33:H33" si="5">E29-D29</f>
        <v>0</v>
      </c>
      <c r="F33" s="144">
        <f t="shared" si="5"/>
        <v>0</v>
      </c>
      <c r="G33" s="144">
        <f t="shared" si="5"/>
        <v>0</v>
      </c>
      <c r="H33" s="144">
        <f t="shared" si="5"/>
        <v>3375383</v>
      </c>
      <c r="I33" s="144">
        <f t="shared" ref="I33" si="6">I29-H29</f>
        <v>3375383</v>
      </c>
      <c r="S33"/>
    </row>
    <row r="34" spans="3:19" ht="15.75" thickBot="1" x14ac:dyDescent="0.3">
      <c r="C34" s="141"/>
      <c r="D34" s="58">
        <f>SUM(D31:D33)</f>
        <v>510000000</v>
      </c>
      <c r="E34" s="147">
        <f t="shared" ref="E34:I34" si="7">SUM(E31:E33)</f>
        <v>20000000</v>
      </c>
      <c r="F34" s="147">
        <f t="shared" si="7"/>
        <v>20000000</v>
      </c>
      <c r="G34" s="147">
        <f t="shared" si="7"/>
        <v>19999999</v>
      </c>
      <c r="H34" s="147">
        <f t="shared" si="7"/>
        <v>10220813</v>
      </c>
      <c r="I34" s="147">
        <f t="shared" si="7"/>
        <v>19999998</v>
      </c>
      <c r="S34"/>
    </row>
    <row r="35" spans="3:19" x14ac:dyDescent="0.25">
      <c r="C35" s="60"/>
      <c r="D35" s="4"/>
      <c r="E35" s="4"/>
      <c r="F35" s="4"/>
      <c r="G35" s="4"/>
      <c r="H35" s="4"/>
      <c r="I35" s="4"/>
      <c r="S35"/>
    </row>
    <row r="36" spans="3:19" x14ac:dyDescent="0.25">
      <c r="C36" s="60" t="s">
        <v>238</v>
      </c>
      <c r="D36" s="4">
        <v>100000</v>
      </c>
      <c r="E36" s="4">
        <f>D36-5000</f>
        <v>95000</v>
      </c>
      <c r="F36" s="4">
        <f t="shared" ref="F36:I36" si="8">E36-5000</f>
        <v>90000</v>
      </c>
      <c r="G36" s="4">
        <f t="shared" si="8"/>
        <v>85000</v>
      </c>
      <c r="H36" s="4">
        <f t="shared" si="8"/>
        <v>80000</v>
      </c>
      <c r="I36" s="103">
        <f t="shared" si="8"/>
        <v>75000</v>
      </c>
      <c r="S36"/>
    </row>
    <row r="37" spans="3:19" x14ac:dyDescent="0.25">
      <c r="D37" s="4"/>
      <c r="E37" s="4"/>
      <c r="F37" s="4"/>
      <c r="G37" s="4"/>
      <c r="H37" s="4"/>
      <c r="I37" s="4"/>
      <c r="S37"/>
    </row>
    <row r="38" spans="3:19" x14ac:dyDescent="0.25">
      <c r="C38" s="139"/>
      <c r="D38" s="4"/>
      <c r="E38" s="4"/>
      <c r="F38" s="4"/>
      <c r="G38" s="4"/>
      <c r="H38" s="4"/>
      <c r="I38" s="4"/>
      <c r="S38"/>
    </row>
    <row r="39" spans="3:19" ht="15.75" thickBot="1" x14ac:dyDescent="0.3">
      <c r="C39" s="60"/>
      <c r="D39" s="4"/>
      <c r="E39" s="4"/>
      <c r="F39" s="4"/>
      <c r="G39" s="4"/>
      <c r="H39" s="4"/>
      <c r="I39" s="4"/>
      <c r="S39"/>
    </row>
    <row r="40" spans="3:19" x14ac:dyDescent="0.25">
      <c r="C40" s="140"/>
      <c r="D40" s="4"/>
      <c r="E40" s="4"/>
      <c r="F40" s="4"/>
      <c r="G40" s="4"/>
      <c r="H40" s="4"/>
      <c r="I40" s="117">
        <f>H17/H20*I24</f>
        <v>62830.727227599898</v>
      </c>
      <c r="S40"/>
    </row>
    <row r="41" spans="3:19" x14ac:dyDescent="0.25">
      <c r="D41" s="4"/>
      <c r="E41" s="4"/>
      <c r="F41" s="4"/>
      <c r="G41" s="4"/>
      <c r="H41" s="4"/>
      <c r="I41" s="118">
        <f>H18/H20*I24</f>
        <v>43981.509059319927</v>
      </c>
      <c r="S41"/>
    </row>
    <row r="42" spans="3:19" ht="15.75" thickBot="1" x14ac:dyDescent="0.3">
      <c r="C42" s="60"/>
      <c r="D42" s="4"/>
      <c r="E42" s="4"/>
      <c r="F42" s="4"/>
      <c r="G42" s="4"/>
      <c r="H42" s="4"/>
      <c r="I42" s="142">
        <f>H19/H20*I24</f>
        <v>21687.763713080163</v>
      </c>
      <c r="S42"/>
    </row>
    <row r="43" spans="3:19" x14ac:dyDescent="0.25">
      <c r="D43" s="4"/>
      <c r="E43" s="4"/>
      <c r="F43" s="4"/>
      <c r="G43" s="4"/>
      <c r="H43" s="4"/>
      <c r="I43" s="4">
        <f>SUM(I40:I42)</f>
        <v>128499.99999999999</v>
      </c>
      <c r="S43"/>
    </row>
    <row r="44" spans="3:19" x14ac:dyDescent="0.25">
      <c r="C44" s="4"/>
      <c r="D44" s="4"/>
      <c r="E44" s="4"/>
      <c r="F44" s="4"/>
      <c r="G44" s="4"/>
      <c r="H44" s="4"/>
      <c r="I44" s="4"/>
    </row>
    <row r="47" spans="3:19" x14ac:dyDescent="0.25">
      <c r="C47" s="113"/>
    </row>
    <row r="52" spans="3:3" x14ac:dyDescent="0.25">
      <c r="C52" s="4"/>
    </row>
    <row r="53" spans="3:3" x14ac:dyDescent="0.25">
      <c r="C53" s="4"/>
    </row>
    <row r="54" spans="3:3" x14ac:dyDescent="0.25">
      <c r="C54" s="4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3C9CB9-2A86-4AEB-8D2D-B9964CF528A2}">
  <sheetPr codeName="Sheet12"/>
  <dimension ref="B1:AD91"/>
  <sheetViews>
    <sheetView topLeftCell="A21" zoomScale="75" zoomScaleNormal="75" workbookViewId="0">
      <selection activeCell="Y58" sqref="Y58"/>
    </sheetView>
  </sheetViews>
  <sheetFormatPr defaultRowHeight="15" x14ac:dyDescent="0.25"/>
  <cols>
    <col min="3" max="3" width="12.140625" customWidth="1"/>
    <col min="4" max="4" width="17.5703125" bestFit="1" customWidth="1"/>
    <col min="5" max="5" width="16.140625" customWidth="1"/>
    <col min="6" max="6" width="14.42578125" customWidth="1"/>
    <col min="7" max="7" width="13.28515625" customWidth="1"/>
    <col min="8" max="8" width="17.85546875" customWidth="1"/>
    <col min="9" max="9" width="14.42578125" bestFit="1" customWidth="1"/>
    <col min="10" max="10" width="12" customWidth="1"/>
    <col min="11" max="16" width="10.7109375" customWidth="1"/>
    <col min="21" max="21" width="10.28515625" customWidth="1"/>
    <col min="22" max="22" width="11.7109375" customWidth="1"/>
    <col min="24" max="24" width="10.5703125" bestFit="1" customWidth="1"/>
    <col min="26" max="26" width="15.5703125" customWidth="1"/>
    <col min="27" max="27" width="15.85546875" customWidth="1"/>
    <col min="28" max="28" width="16.7109375" bestFit="1" customWidth="1"/>
    <col min="30" max="30" width="16.85546875" bestFit="1" customWidth="1"/>
  </cols>
  <sheetData>
    <row r="1" spans="2:28" x14ac:dyDescent="0.25">
      <c r="B1" s="1" t="s">
        <v>45</v>
      </c>
    </row>
    <row r="2" spans="2:28" x14ac:dyDescent="0.25">
      <c r="O2" t="s">
        <v>107</v>
      </c>
      <c r="S2" t="s">
        <v>108</v>
      </c>
    </row>
    <row r="3" spans="2:28" x14ac:dyDescent="0.25">
      <c r="B3" s="1" t="s">
        <v>57</v>
      </c>
    </row>
    <row r="4" spans="2:28" ht="15.75" thickBot="1" x14ac:dyDescent="0.3">
      <c r="G4" s="2" t="s">
        <v>93</v>
      </c>
      <c r="H4" s="2" t="s">
        <v>94</v>
      </c>
      <c r="I4" s="2" t="s">
        <v>92</v>
      </c>
      <c r="J4" s="2" t="s">
        <v>170</v>
      </c>
      <c r="K4" s="2" t="s">
        <v>171</v>
      </c>
      <c r="L4" s="2" t="s">
        <v>56</v>
      </c>
      <c r="M4" s="2" t="s">
        <v>90</v>
      </c>
      <c r="N4" s="2" t="s">
        <v>91</v>
      </c>
      <c r="O4" s="2" t="s">
        <v>170</v>
      </c>
      <c r="P4" s="2" t="s">
        <v>171</v>
      </c>
      <c r="Q4" s="2" t="s">
        <v>56</v>
      </c>
      <c r="R4" s="2"/>
      <c r="S4" s="2" t="s">
        <v>89</v>
      </c>
      <c r="T4" s="2" t="s">
        <v>121</v>
      </c>
      <c r="U4" s="2" t="s">
        <v>122</v>
      </c>
      <c r="V4" s="2"/>
      <c r="AA4" s="2" t="s">
        <v>172</v>
      </c>
      <c r="AB4" s="2" t="s">
        <v>173</v>
      </c>
    </row>
    <row r="5" spans="2:28" x14ac:dyDescent="0.25">
      <c r="B5" s="1" t="s">
        <v>61</v>
      </c>
      <c r="F5">
        <v>1</v>
      </c>
      <c r="H5">
        <v>0</v>
      </c>
      <c r="I5" s="62" t="s">
        <v>164</v>
      </c>
      <c r="J5" s="185">
        <v>250</v>
      </c>
      <c r="K5" s="55">
        <v>0</v>
      </c>
      <c r="L5" s="55">
        <v>0</v>
      </c>
      <c r="M5" s="55">
        <f>SUM(J5:L5)</f>
        <v>250</v>
      </c>
      <c r="N5" s="156">
        <v>0</v>
      </c>
      <c r="O5" s="31"/>
      <c r="P5" s="68"/>
      <c r="Q5" s="32"/>
      <c r="X5" s="2" t="s">
        <v>202</v>
      </c>
      <c r="Y5" s="2" t="s">
        <v>92</v>
      </c>
      <c r="Z5" s="2" t="s">
        <v>158</v>
      </c>
      <c r="AA5" s="2" t="s">
        <v>174</v>
      </c>
      <c r="AB5" s="2"/>
    </row>
    <row r="6" spans="2:28" ht="15.75" thickBot="1" x14ac:dyDescent="0.3">
      <c r="C6" t="s">
        <v>59</v>
      </c>
      <c r="G6" s="49">
        <v>2</v>
      </c>
      <c r="H6" s="49">
        <f>G6*0.05</f>
        <v>0.1</v>
      </c>
      <c r="I6" s="65">
        <v>1</v>
      </c>
      <c r="J6" s="186">
        <v>250</v>
      </c>
      <c r="K6" s="58">
        <v>0</v>
      </c>
      <c r="L6" s="58">
        <v>0</v>
      </c>
      <c r="M6" s="58">
        <f t="shared" ref="M6:M14" si="0">SUM(J6:L6)</f>
        <v>250</v>
      </c>
      <c r="N6" s="157">
        <f>H6/M6</f>
        <v>4.0000000000000002E-4</v>
      </c>
      <c r="O6" s="69">
        <f>S6*$H6</f>
        <v>0.1</v>
      </c>
      <c r="P6" s="70">
        <f>T6*$H6</f>
        <v>0</v>
      </c>
      <c r="Q6" s="67">
        <f>U6*$H6</f>
        <v>0</v>
      </c>
      <c r="S6" s="21">
        <f>J6/$M6</f>
        <v>1</v>
      </c>
      <c r="T6" s="21">
        <f>K6/$M6</f>
        <v>0</v>
      </c>
      <c r="U6" s="21">
        <f>L6/$M6</f>
        <v>0</v>
      </c>
      <c r="V6" s="153">
        <f>SUM(S6:U6)</f>
        <v>1</v>
      </c>
      <c r="X6" s="1">
        <v>0</v>
      </c>
      <c r="Y6">
        <v>4</v>
      </c>
      <c r="Z6" s="4">
        <v>250000000</v>
      </c>
      <c r="AA6" s="190">
        <f>(O6+O8+O10)*1000</f>
        <v>212.50000000000003</v>
      </c>
      <c r="AB6" s="17">
        <f>Z6*INT((N10-N5)*C20)/1000000000000</f>
        <v>212.5</v>
      </c>
    </row>
    <row r="7" spans="2:28" x14ac:dyDescent="0.25">
      <c r="C7" t="s">
        <v>60</v>
      </c>
      <c r="F7">
        <v>2</v>
      </c>
      <c r="G7" s="8"/>
      <c r="H7" s="8">
        <v>1</v>
      </c>
      <c r="I7" s="62" t="s">
        <v>165</v>
      </c>
      <c r="J7" s="185">
        <v>250</v>
      </c>
      <c r="K7" s="185">
        <v>150</v>
      </c>
      <c r="L7" s="55">
        <v>0</v>
      </c>
      <c r="M7" s="55">
        <f t="shared" si="0"/>
        <v>400</v>
      </c>
      <c r="N7" s="156">
        <f>N6</f>
        <v>4.0000000000000002E-4</v>
      </c>
      <c r="O7" s="71"/>
      <c r="P7" s="72"/>
      <c r="Q7" s="64"/>
      <c r="S7" s="21">
        <f t="shared" ref="S7:U14" si="1">J7/$M7</f>
        <v>0.625</v>
      </c>
      <c r="T7" s="21">
        <f t="shared" si="1"/>
        <v>0.375</v>
      </c>
      <c r="U7" s="21">
        <f t="shared" si="1"/>
        <v>0</v>
      </c>
      <c r="V7" s="153">
        <f t="shared" ref="V7:V14" si="2">SUM(S7:U7)</f>
        <v>1</v>
      </c>
      <c r="X7" s="1">
        <v>1</v>
      </c>
      <c r="Y7">
        <v>5</v>
      </c>
      <c r="Z7" s="4">
        <v>150000000</v>
      </c>
      <c r="AA7" s="190">
        <f>(P8+P10+P12)*1000</f>
        <v>100.83333333333333</v>
      </c>
      <c r="AB7" s="17">
        <f>Z7*INT((N12-N6)*C21)/1000000000000</f>
        <v>100.83329999999999</v>
      </c>
    </row>
    <row r="8" spans="2:28" ht="15.75" thickBot="1" x14ac:dyDescent="0.3">
      <c r="C8" t="s">
        <v>58</v>
      </c>
      <c r="G8" s="49">
        <v>2</v>
      </c>
      <c r="H8" s="49">
        <f>G8*0.05</f>
        <v>0.1</v>
      </c>
      <c r="I8" s="65">
        <v>2</v>
      </c>
      <c r="J8" s="186">
        <v>250</v>
      </c>
      <c r="K8" s="186">
        <v>150</v>
      </c>
      <c r="L8" s="58">
        <v>0</v>
      </c>
      <c r="M8" s="58">
        <f t="shared" si="0"/>
        <v>400</v>
      </c>
      <c r="N8" s="157">
        <f>H8/M8+N6</f>
        <v>6.4999999999999997E-4</v>
      </c>
      <c r="O8" s="69">
        <f>S8*$H8</f>
        <v>6.25E-2</v>
      </c>
      <c r="P8" s="70">
        <f>T8*$H8</f>
        <v>3.7500000000000006E-2</v>
      </c>
      <c r="Q8" s="67">
        <f>U8*$H8</f>
        <v>0</v>
      </c>
      <c r="S8" s="21">
        <f t="shared" si="1"/>
        <v>0.625</v>
      </c>
      <c r="T8" s="21">
        <f t="shared" si="1"/>
        <v>0.375</v>
      </c>
      <c r="U8" s="21">
        <f t="shared" si="1"/>
        <v>0</v>
      </c>
      <c r="V8" s="153">
        <f t="shared" si="2"/>
        <v>1</v>
      </c>
      <c r="X8" s="1">
        <v>0</v>
      </c>
      <c r="Y8">
        <v>6</v>
      </c>
      <c r="Z8" s="4">
        <v>200000000</v>
      </c>
      <c r="AA8" s="190">
        <f>(O12+O14)*1000</f>
        <v>111.1111111111111</v>
      </c>
      <c r="AB8" s="17">
        <f>Z8*INT((N14-N10)*C22)/1000000000000</f>
        <v>111.111</v>
      </c>
    </row>
    <row r="9" spans="2:28" x14ac:dyDescent="0.25">
      <c r="F9">
        <v>3</v>
      </c>
      <c r="G9" s="8"/>
      <c r="H9" s="8">
        <v>1</v>
      </c>
      <c r="I9" s="62" t="s">
        <v>166</v>
      </c>
      <c r="J9" s="185">
        <v>250</v>
      </c>
      <c r="K9" s="185">
        <v>150</v>
      </c>
      <c r="L9" s="185">
        <v>100</v>
      </c>
      <c r="M9" s="55">
        <f t="shared" si="0"/>
        <v>500</v>
      </c>
      <c r="N9" s="156">
        <f>N8</f>
        <v>6.4999999999999997E-4</v>
      </c>
      <c r="O9" s="71"/>
      <c r="P9" s="72"/>
      <c r="Q9" s="64"/>
      <c r="S9" s="21">
        <f t="shared" si="1"/>
        <v>0.5</v>
      </c>
      <c r="T9" s="21">
        <f t="shared" si="1"/>
        <v>0.3</v>
      </c>
      <c r="U9" s="21">
        <f t="shared" si="1"/>
        <v>0.2</v>
      </c>
      <c r="V9" s="153">
        <f t="shared" si="2"/>
        <v>1</v>
      </c>
      <c r="X9" s="1">
        <v>2</v>
      </c>
      <c r="Y9">
        <v>6</v>
      </c>
      <c r="Z9" s="4">
        <v>100000000</v>
      </c>
      <c r="AA9" s="190">
        <f>(Q10+Q12+Q14)*1000</f>
        <v>75.555555555555571</v>
      </c>
      <c r="AB9" s="17">
        <f>Z9*INT((N14-N8)*C23)/1000000000000</f>
        <v>75.555499999999995</v>
      </c>
    </row>
    <row r="10" spans="2:28" ht="15.75" thickBot="1" x14ac:dyDescent="0.3">
      <c r="G10" s="49">
        <v>2</v>
      </c>
      <c r="H10" s="49">
        <f>G10*0.05</f>
        <v>0.1</v>
      </c>
      <c r="I10" s="65">
        <v>3</v>
      </c>
      <c r="J10" s="186">
        <v>250</v>
      </c>
      <c r="K10" s="186">
        <v>150</v>
      </c>
      <c r="L10" s="186">
        <v>100</v>
      </c>
      <c r="M10" s="58">
        <f t="shared" si="0"/>
        <v>500</v>
      </c>
      <c r="N10" s="157">
        <f>H10/M10+N8</f>
        <v>8.4999999999999995E-4</v>
      </c>
      <c r="O10" s="69">
        <f>S10*$H10</f>
        <v>0.05</v>
      </c>
      <c r="P10" s="70">
        <f>T10*$H10</f>
        <v>0.03</v>
      </c>
      <c r="Q10" s="67">
        <f>U10*$H10</f>
        <v>2.0000000000000004E-2</v>
      </c>
      <c r="S10" s="21">
        <f t="shared" si="1"/>
        <v>0.5</v>
      </c>
      <c r="T10" s="21">
        <f t="shared" si="1"/>
        <v>0.3</v>
      </c>
      <c r="U10" s="21">
        <f t="shared" si="1"/>
        <v>0.2</v>
      </c>
      <c r="V10" s="153">
        <f t="shared" si="2"/>
        <v>1</v>
      </c>
      <c r="X10" s="1"/>
      <c r="Z10" s="4">
        <v>99999999</v>
      </c>
      <c r="AA10" s="17">
        <f>SUM(AA6:AA9)</f>
        <v>500</v>
      </c>
      <c r="AB10" s="3"/>
    </row>
    <row r="11" spans="2:28" x14ac:dyDescent="0.25">
      <c r="B11" t="s">
        <v>92</v>
      </c>
      <c r="F11">
        <v>4</v>
      </c>
      <c r="G11" s="8"/>
      <c r="H11" s="8">
        <v>3</v>
      </c>
      <c r="I11" s="62" t="s">
        <v>167</v>
      </c>
      <c r="J11" s="185">
        <v>200</v>
      </c>
      <c r="K11" s="185">
        <v>150</v>
      </c>
      <c r="L11" s="185">
        <v>100</v>
      </c>
      <c r="M11" s="55">
        <f t="shared" si="0"/>
        <v>450</v>
      </c>
      <c r="N11" s="156">
        <f>N10</f>
        <v>8.4999999999999995E-4</v>
      </c>
      <c r="O11" s="71"/>
      <c r="P11" s="72"/>
      <c r="Q11" s="64"/>
      <c r="S11" s="21">
        <f t="shared" si="1"/>
        <v>0.44444444444444442</v>
      </c>
      <c r="T11" s="21">
        <f t="shared" si="1"/>
        <v>0.33333333333333331</v>
      </c>
      <c r="U11" s="21">
        <f t="shared" si="1"/>
        <v>0.22222222222222221</v>
      </c>
      <c r="V11" s="153">
        <f t="shared" si="2"/>
        <v>0.99999999999999989</v>
      </c>
    </row>
    <row r="12" spans="2:28" ht="15.75" thickBot="1" x14ac:dyDescent="0.3">
      <c r="B12" s="1">
        <v>1</v>
      </c>
      <c r="C12" t="s">
        <v>106</v>
      </c>
      <c r="G12" s="49">
        <v>2</v>
      </c>
      <c r="H12" s="49">
        <f>G12*0.05</f>
        <v>0.1</v>
      </c>
      <c r="I12" s="65">
        <v>4</v>
      </c>
      <c r="J12" s="186">
        <v>200</v>
      </c>
      <c r="K12" s="186">
        <v>150</v>
      </c>
      <c r="L12" s="186">
        <v>100</v>
      </c>
      <c r="M12" s="58">
        <f t="shared" si="0"/>
        <v>450</v>
      </c>
      <c r="N12" s="157">
        <f>(H12)/M12+N10</f>
        <v>1.0722222222222222E-3</v>
      </c>
      <c r="O12" s="69">
        <f>S12*$H12</f>
        <v>4.4444444444444446E-2</v>
      </c>
      <c r="P12" s="70">
        <f>T12*$H12</f>
        <v>3.3333333333333333E-2</v>
      </c>
      <c r="Q12" s="67">
        <f>U12*$H12</f>
        <v>2.2222222222222223E-2</v>
      </c>
      <c r="S12" s="21">
        <f t="shared" si="1"/>
        <v>0.44444444444444442</v>
      </c>
      <c r="T12" s="21">
        <f t="shared" si="1"/>
        <v>0.33333333333333331</v>
      </c>
      <c r="U12" s="21">
        <f t="shared" si="1"/>
        <v>0.22222222222222221</v>
      </c>
      <c r="V12" s="153">
        <f t="shared" si="2"/>
        <v>0.99999999999999989</v>
      </c>
    </row>
    <row r="13" spans="2:28" x14ac:dyDescent="0.25">
      <c r="B13" s="1">
        <v>2</v>
      </c>
      <c r="C13" t="s">
        <v>105</v>
      </c>
      <c r="F13">
        <v>5</v>
      </c>
      <c r="G13" s="8"/>
      <c r="H13" s="8">
        <v>4</v>
      </c>
      <c r="I13" s="62" t="s">
        <v>168</v>
      </c>
      <c r="J13" s="185">
        <v>200</v>
      </c>
      <c r="K13" s="185">
        <v>0</v>
      </c>
      <c r="L13" s="185">
        <v>100</v>
      </c>
      <c r="M13" s="55">
        <f t="shared" si="0"/>
        <v>300</v>
      </c>
      <c r="N13" s="156">
        <f>N12</f>
        <v>1.0722222222222222E-3</v>
      </c>
      <c r="O13" s="71"/>
      <c r="P13" s="72"/>
      <c r="Q13" s="64"/>
      <c r="S13" s="21">
        <f t="shared" si="1"/>
        <v>0.66666666666666663</v>
      </c>
      <c r="T13" s="21">
        <f t="shared" si="1"/>
        <v>0</v>
      </c>
      <c r="U13" s="21">
        <f t="shared" si="1"/>
        <v>0.33333333333333331</v>
      </c>
      <c r="V13" s="153">
        <f t="shared" si="2"/>
        <v>1</v>
      </c>
    </row>
    <row r="14" spans="2:28" ht="15.75" thickBot="1" x14ac:dyDescent="0.3">
      <c r="B14" s="1">
        <v>3</v>
      </c>
      <c r="C14" t="s">
        <v>104</v>
      </c>
      <c r="G14" s="49">
        <v>2</v>
      </c>
      <c r="H14" s="49">
        <f>G14*0.05</f>
        <v>0.1</v>
      </c>
      <c r="I14" s="65">
        <v>5</v>
      </c>
      <c r="J14" s="186">
        <v>200</v>
      </c>
      <c r="K14" s="58">
        <v>0</v>
      </c>
      <c r="L14" s="186">
        <v>100</v>
      </c>
      <c r="M14" s="58">
        <f t="shared" si="0"/>
        <v>300</v>
      </c>
      <c r="N14" s="157">
        <f>H14/M14+N12</f>
        <v>1.4055555555555557E-3</v>
      </c>
      <c r="O14" s="69">
        <f>S14*$H14</f>
        <v>6.6666666666666666E-2</v>
      </c>
      <c r="P14" s="70">
        <f>T14*$H14</f>
        <v>0</v>
      </c>
      <c r="Q14" s="67">
        <f>U14*$H14</f>
        <v>3.3333333333333333E-2</v>
      </c>
      <c r="S14" s="21">
        <f t="shared" si="1"/>
        <v>0.66666666666666663</v>
      </c>
      <c r="T14" s="21">
        <f t="shared" si="1"/>
        <v>0</v>
      </c>
      <c r="U14" s="21">
        <f t="shared" si="1"/>
        <v>0.33333333333333331</v>
      </c>
      <c r="V14" s="153">
        <f t="shared" si="2"/>
        <v>1</v>
      </c>
    </row>
    <row r="15" spans="2:28" x14ac:dyDescent="0.25">
      <c r="B15" s="1">
        <v>4</v>
      </c>
      <c r="C15" t="s">
        <v>175</v>
      </c>
      <c r="F15">
        <v>6</v>
      </c>
      <c r="G15" s="8"/>
      <c r="H15" s="8">
        <v>5</v>
      </c>
      <c r="I15" s="2" t="s">
        <v>169</v>
      </c>
      <c r="J15" s="4">
        <v>0</v>
      </c>
      <c r="K15" s="4">
        <v>0</v>
      </c>
      <c r="L15" s="4">
        <v>0</v>
      </c>
      <c r="M15" s="4">
        <v>0</v>
      </c>
      <c r="N15" s="114">
        <f>N14</f>
        <v>1.4055555555555557E-3</v>
      </c>
    </row>
    <row r="16" spans="2:28" x14ac:dyDescent="0.25">
      <c r="B16" s="1">
        <v>5</v>
      </c>
      <c r="C16" t="s">
        <v>102</v>
      </c>
      <c r="J16" s="4"/>
      <c r="K16" s="4"/>
      <c r="L16" s="4"/>
      <c r="N16" s="3"/>
      <c r="O16" s="3"/>
      <c r="P16" s="3"/>
      <c r="Q16" s="3"/>
      <c r="W16" s="4"/>
    </row>
    <row r="17" spans="2:28" x14ac:dyDescent="0.25">
      <c r="B17" s="1">
        <v>6</v>
      </c>
      <c r="C17" t="s">
        <v>101</v>
      </c>
      <c r="H17" s="44"/>
      <c r="J17" s="4"/>
      <c r="K17" s="4"/>
      <c r="L17" s="4"/>
      <c r="M17" s="49"/>
      <c r="N17" s="3"/>
      <c r="Z17" t="s">
        <v>251</v>
      </c>
    </row>
    <row r="18" spans="2:28" ht="15.75" thickBot="1" x14ac:dyDescent="0.3">
      <c r="C18" t="s">
        <v>100</v>
      </c>
      <c r="G18" s="2" t="s">
        <v>93</v>
      </c>
      <c r="H18" s="2" t="s">
        <v>94</v>
      </c>
      <c r="I18" s="2" t="s">
        <v>92</v>
      </c>
      <c r="J18" s="2" t="s">
        <v>170</v>
      </c>
      <c r="K18" s="2" t="s">
        <v>171</v>
      </c>
      <c r="L18" s="2" t="s">
        <v>56</v>
      </c>
      <c r="M18" s="2" t="s">
        <v>90</v>
      </c>
      <c r="N18" s="2" t="s">
        <v>91</v>
      </c>
      <c r="O18" s="2" t="s">
        <v>170</v>
      </c>
      <c r="P18" s="2" t="s">
        <v>171</v>
      </c>
      <c r="Q18" s="2" t="s">
        <v>56</v>
      </c>
      <c r="R18" s="2"/>
      <c r="S18" s="2" t="s">
        <v>89</v>
      </c>
      <c r="T18" s="2" t="s">
        <v>121</v>
      </c>
      <c r="U18" s="2" t="s">
        <v>122</v>
      </c>
      <c r="V18" s="2"/>
      <c r="AB18" s="28"/>
    </row>
    <row r="19" spans="2:28" x14ac:dyDescent="0.25">
      <c r="H19">
        <v>0</v>
      </c>
      <c r="I19" s="62" t="s">
        <v>164</v>
      </c>
      <c r="J19" s="185">
        <v>250</v>
      </c>
      <c r="K19" s="55">
        <v>0</v>
      </c>
      <c r="L19" s="55">
        <v>0</v>
      </c>
      <c r="M19" s="55">
        <f>SUM(J19:L19)</f>
        <v>250</v>
      </c>
      <c r="N19" s="156">
        <v>0</v>
      </c>
      <c r="O19" s="31"/>
      <c r="P19" s="68"/>
      <c r="Q19" s="32"/>
      <c r="AA19" s="2" t="s">
        <v>172</v>
      </c>
      <c r="AB19" s="2" t="s">
        <v>173</v>
      </c>
    </row>
    <row r="20" spans="2:28" ht="15.75" thickBot="1" x14ac:dyDescent="0.3">
      <c r="B20">
        <v>250000000</v>
      </c>
      <c r="C20" s="60">
        <v>1000000000</v>
      </c>
      <c r="G20" s="49">
        <v>2</v>
      </c>
      <c r="H20" s="49">
        <f>G20*0.05</f>
        <v>0.1</v>
      </c>
      <c r="I20" s="65">
        <v>1</v>
      </c>
      <c r="J20" s="186">
        <v>250</v>
      </c>
      <c r="K20" s="58">
        <v>0</v>
      </c>
      <c r="L20" s="58">
        <v>0</v>
      </c>
      <c r="M20" s="58">
        <f t="shared" ref="M20:M28" si="3">SUM(J20:L20)</f>
        <v>250</v>
      </c>
      <c r="N20" s="157">
        <f>H20/M20</f>
        <v>4.0000000000000002E-4</v>
      </c>
      <c r="O20" s="69">
        <f>S20*$H20</f>
        <v>0.1</v>
      </c>
      <c r="P20" s="70">
        <f>T20*$H20</f>
        <v>0</v>
      </c>
      <c r="Q20" s="67">
        <f>U20*$H20</f>
        <v>0</v>
      </c>
      <c r="S20" s="21">
        <f>J20/$M20</f>
        <v>1</v>
      </c>
      <c r="T20" s="21">
        <f>K20/$M20</f>
        <v>0</v>
      </c>
      <c r="U20" s="21">
        <f>L20/$M20</f>
        <v>0</v>
      </c>
      <c r="V20" s="153">
        <f>SUM(S20:U20)</f>
        <v>1</v>
      </c>
      <c r="X20" s="2" t="s">
        <v>202</v>
      </c>
      <c r="Y20" s="2" t="s">
        <v>92</v>
      </c>
      <c r="Z20" s="2" t="s">
        <v>158</v>
      </c>
      <c r="AA20" s="2" t="s">
        <v>174</v>
      </c>
      <c r="AB20" s="2"/>
    </row>
    <row r="21" spans="2:28" x14ac:dyDescent="0.25">
      <c r="B21">
        <v>150000000</v>
      </c>
      <c r="C21" s="60">
        <v>1000000000</v>
      </c>
      <c r="G21" s="8"/>
      <c r="H21" s="8">
        <v>1</v>
      </c>
      <c r="I21" s="62" t="s">
        <v>165</v>
      </c>
      <c r="J21" s="185">
        <v>250</v>
      </c>
      <c r="K21" s="185">
        <v>150</v>
      </c>
      <c r="L21" s="55">
        <v>0</v>
      </c>
      <c r="M21" s="55">
        <f t="shared" si="3"/>
        <v>400</v>
      </c>
      <c r="N21" s="156">
        <f>N20</f>
        <v>4.0000000000000002E-4</v>
      </c>
      <c r="O21" s="71"/>
      <c r="P21" s="72"/>
      <c r="Q21" s="64"/>
      <c r="S21" s="21">
        <f t="shared" ref="S21:S28" si="4">J21/$M21</f>
        <v>0.625</v>
      </c>
      <c r="T21" s="21">
        <f t="shared" ref="T21:T28" si="5">K21/$M21</f>
        <v>0.375</v>
      </c>
      <c r="U21" s="21">
        <f t="shared" ref="U21:U28" si="6">L21/$M21</f>
        <v>0</v>
      </c>
      <c r="V21" s="153">
        <f t="shared" ref="V21:V28" si="7">SUM(S21:U21)</f>
        <v>1</v>
      </c>
      <c r="X21" s="1">
        <v>0</v>
      </c>
      <c r="Y21">
        <v>4</v>
      </c>
      <c r="Z21" s="4">
        <v>250000000</v>
      </c>
      <c r="AA21" s="190">
        <f>(O20+O22+O24)*1000</f>
        <v>212.50000000000003</v>
      </c>
      <c r="AB21" s="17">
        <f>Z21*INT((N25-N20)*C35)/1000000000000</f>
        <v>0</v>
      </c>
    </row>
    <row r="22" spans="2:28" ht="15.75" thickBot="1" x14ac:dyDescent="0.3">
      <c r="B22">
        <v>200000000</v>
      </c>
      <c r="C22" s="60">
        <v>1000000000</v>
      </c>
      <c r="G22" s="49">
        <v>2</v>
      </c>
      <c r="H22" s="49">
        <f>G22*0.05</f>
        <v>0.1</v>
      </c>
      <c r="I22" s="65">
        <v>2</v>
      </c>
      <c r="J22" s="186">
        <v>250</v>
      </c>
      <c r="K22" s="186">
        <v>150</v>
      </c>
      <c r="L22" s="58">
        <v>0</v>
      </c>
      <c r="M22" s="58">
        <f t="shared" si="3"/>
        <v>400</v>
      </c>
      <c r="N22" s="157">
        <f>H22/M22+N20</f>
        <v>6.4999999999999997E-4</v>
      </c>
      <c r="O22" s="69">
        <f>S22*$H22</f>
        <v>6.25E-2</v>
      </c>
      <c r="P22" s="70">
        <f>T22*$H22</f>
        <v>3.7500000000000006E-2</v>
      </c>
      <c r="Q22" s="67">
        <f>U22*$H22</f>
        <v>0</v>
      </c>
      <c r="S22" s="21">
        <f t="shared" si="4"/>
        <v>0.625</v>
      </c>
      <c r="T22" s="21">
        <f t="shared" si="5"/>
        <v>0.375</v>
      </c>
      <c r="U22" s="21">
        <f t="shared" si="6"/>
        <v>0</v>
      </c>
      <c r="V22" s="153">
        <f t="shared" si="7"/>
        <v>1</v>
      </c>
      <c r="W22" s="4"/>
      <c r="X22" s="1">
        <v>1</v>
      </c>
      <c r="Y22">
        <v>5</v>
      </c>
      <c r="Z22" s="4">
        <v>150000000</v>
      </c>
      <c r="AA22" s="190">
        <f>(P22+P24+P26)*1000/2</f>
        <v>50.416666666666664</v>
      </c>
      <c r="AB22" s="17">
        <f>Z22*INT((N27-N21)*C36)/1000000000000</f>
        <v>0</v>
      </c>
    </row>
    <row r="23" spans="2:28" x14ac:dyDescent="0.25">
      <c r="B23" s="1">
        <v>100000000</v>
      </c>
      <c r="C23" s="60">
        <v>1000000000</v>
      </c>
      <c r="G23" s="8"/>
      <c r="H23" s="8">
        <v>1</v>
      </c>
      <c r="I23" s="62" t="s">
        <v>166</v>
      </c>
      <c r="J23" s="185">
        <v>250</v>
      </c>
      <c r="K23" s="185">
        <v>150</v>
      </c>
      <c r="L23" s="185">
        <v>100</v>
      </c>
      <c r="M23" s="55">
        <f t="shared" si="3"/>
        <v>500</v>
      </c>
      <c r="N23" s="156">
        <f>N22</f>
        <v>6.4999999999999997E-4</v>
      </c>
      <c r="O23" s="71"/>
      <c r="P23" s="72"/>
      <c r="Q23" s="64"/>
      <c r="S23" s="21">
        <f t="shared" si="4"/>
        <v>0.5</v>
      </c>
      <c r="T23" s="21">
        <f t="shared" si="5"/>
        <v>0.3</v>
      </c>
      <c r="U23" s="21">
        <f t="shared" si="6"/>
        <v>0.2</v>
      </c>
      <c r="V23" s="153">
        <f t="shared" si="7"/>
        <v>1</v>
      </c>
      <c r="W23" s="4"/>
      <c r="X23" s="1">
        <v>0</v>
      </c>
      <c r="Y23">
        <v>6</v>
      </c>
      <c r="Z23" s="4">
        <v>200000000</v>
      </c>
      <c r="AA23" s="190">
        <f>(O26+O28)*1000</f>
        <v>144.72222222222223</v>
      </c>
      <c r="AB23" s="17">
        <f>Z23*INT((N29-N25)*C37)/1000000000000</f>
        <v>0</v>
      </c>
    </row>
    <row r="24" spans="2:28" ht="15.75" thickBot="1" x14ac:dyDescent="0.3">
      <c r="G24" s="49">
        <v>2</v>
      </c>
      <c r="H24" s="49">
        <f>G24*0.05</f>
        <v>0.1</v>
      </c>
      <c r="I24" s="65">
        <v>3</v>
      </c>
      <c r="J24" s="186">
        <v>250</v>
      </c>
      <c r="K24" s="186">
        <v>150</v>
      </c>
      <c r="L24" s="186">
        <v>100</v>
      </c>
      <c r="M24" s="58">
        <f t="shared" si="3"/>
        <v>500</v>
      </c>
      <c r="N24" s="157">
        <f>H24/M24+N22</f>
        <v>8.4999999999999995E-4</v>
      </c>
      <c r="O24" s="69">
        <f>S24*$H24</f>
        <v>0.05</v>
      </c>
      <c r="P24" s="70">
        <f>T24*$H24</f>
        <v>0.03</v>
      </c>
      <c r="Q24" s="67">
        <f>U24*$H24</f>
        <v>2.0000000000000004E-2</v>
      </c>
      <c r="S24" s="21">
        <f t="shared" si="4"/>
        <v>0.5</v>
      </c>
      <c r="T24" s="21">
        <f t="shared" si="5"/>
        <v>0.3</v>
      </c>
      <c r="U24" s="21">
        <f t="shared" si="6"/>
        <v>0.2</v>
      </c>
      <c r="V24" s="153">
        <f t="shared" si="7"/>
        <v>1</v>
      </c>
      <c r="W24" s="4"/>
      <c r="X24" s="1">
        <v>2</v>
      </c>
      <c r="Y24">
        <v>6</v>
      </c>
      <c r="Z24" s="4">
        <v>100000000</v>
      </c>
      <c r="AA24" s="190">
        <f>(Q24+Q26+Q28)*1000</f>
        <v>92.361111111111114</v>
      </c>
      <c r="AB24" s="17">
        <f>Z24*INT((N29-N23)*C38)/1000000000000</f>
        <v>0</v>
      </c>
    </row>
    <row r="25" spans="2:28" x14ac:dyDescent="0.25">
      <c r="B25" s="1"/>
      <c r="F25" s="26"/>
      <c r="G25" s="8"/>
      <c r="H25" s="8">
        <v>3</v>
      </c>
      <c r="I25" s="62" t="s">
        <v>167</v>
      </c>
      <c r="J25" s="185">
        <v>200</v>
      </c>
      <c r="K25" s="185">
        <v>150</v>
      </c>
      <c r="L25" s="185">
        <v>100</v>
      </c>
      <c r="M25" s="55">
        <f t="shared" si="3"/>
        <v>450</v>
      </c>
      <c r="N25" s="156">
        <f>N24</f>
        <v>8.4999999999999995E-4</v>
      </c>
      <c r="O25" s="71"/>
      <c r="P25" s="72"/>
      <c r="Q25" s="64"/>
      <c r="S25" s="21">
        <f t="shared" si="4"/>
        <v>0.44444444444444442</v>
      </c>
      <c r="T25" s="21">
        <f t="shared" si="5"/>
        <v>0.33333333333333331</v>
      </c>
      <c r="U25" s="21">
        <f t="shared" si="6"/>
        <v>0.22222222222222221</v>
      </c>
      <c r="V25" s="153">
        <f t="shared" si="7"/>
        <v>0.99999999999999989</v>
      </c>
      <c r="X25" s="1"/>
      <c r="Z25" s="4">
        <v>99999999</v>
      </c>
      <c r="AA25" s="17">
        <f>SUM(AA21:AA24)</f>
        <v>500</v>
      </c>
      <c r="AB25" s="3"/>
    </row>
    <row r="26" spans="2:28" ht="15.75" thickBot="1" x14ac:dyDescent="0.3">
      <c r="G26" s="49">
        <v>2</v>
      </c>
      <c r="H26" s="49">
        <f>G26*0.05</f>
        <v>0.1</v>
      </c>
      <c r="I26" s="65">
        <v>4</v>
      </c>
      <c r="J26" s="186">
        <v>200</v>
      </c>
      <c r="K26" s="186">
        <v>150</v>
      </c>
      <c r="L26" s="186">
        <v>100</v>
      </c>
      <c r="M26" s="58">
        <f t="shared" si="3"/>
        <v>450</v>
      </c>
      <c r="N26" s="157">
        <f>(H26)/M26+N24</f>
        <v>1.0722222222222222E-3</v>
      </c>
      <c r="O26" s="69">
        <f>S26*$H26</f>
        <v>4.4444444444444446E-2</v>
      </c>
      <c r="P26" s="70">
        <f>T26*$H26</f>
        <v>3.3333333333333333E-2</v>
      </c>
      <c r="Q26" s="67">
        <f>U26*$H26</f>
        <v>2.2222222222222223E-2</v>
      </c>
      <c r="S26" s="21">
        <f t="shared" si="4"/>
        <v>0.44444444444444442</v>
      </c>
      <c r="T26" s="21">
        <f t="shared" si="5"/>
        <v>0.33333333333333331</v>
      </c>
      <c r="U26" s="21">
        <f t="shared" si="6"/>
        <v>0.22222222222222221</v>
      </c>
      <c r="V26" s="153">
        <f t="shared" si="7"/>
        <v>0.99999999999999989</v>
      </c>
      <c r="W26" s="3"/>
      <c r="Y26" s="28"/>
      <c r="Z26" s="28"/>
      <c r="AA26" s="28"/>
    </row>
    <row r="27" spans="2:28" x14ac:dyDescent="0.25">
      <c r="B27" s="1"/>
      <c r="G27" s="8"/>
      <c r="H27" s="8">
        <v>4</v>
      </c>
      <c r="I27" s="62" t="s">
        <v>168</v>
      </c>
      <c r="J27" s="185">
        <v>200</v>
      </c>
      <c r="K27" s="185">
        <v>0</v>
      </c>
      <c r="L27" s="185">
        <v>100</v>
      </c>
      <c r="M27" s="55">
        <f t="shared" si="3"/>
        <v>300</v>
      </c>
      <c r="N27" s="156">
        <f>N26</f>
        <v>1.0722222222222222E-3</v>
      </c>
      <c r="O27" s="71"/>
      <c r="P27" s="72"/>
      <c r="Q27" s="64"/>
      <c r="S27" s="21">
        <f t="shared" si="4"/>
        <v>0.66666666666666663</v>
      </c>
      <c r="T27" s="21">
        <f t="shared" si="5"/>
        <v>0</v>
      </c>
      <c r="U27" s="21">
        <f t="shared" si="6"/>
        <v>0.33333333333333331</v>
      </c>
      <c r="V27" s="153">
        <f t="shared" si="7"/>
        <v>1</v>
      </c>
      <c r="W27" s="3"/>
    </row>
    <row r="28" spans="2:28" ht="15.75" thickBot="1" x14ac:dyDescent="0.3">
      <c r="D28" s="11"/>
      <c r="E28" s="102"/>
      <c r="G28" s="49">
        <v>2</v>
      </c>
      <c r="H28" s="49">
        <f>G28*0.05+(P26+P24+P22)/2</f>
        <v>0.15041666666666667</v>
      </c>
      <c r="I28" s="65">
        <v>5</v>
      </c>
      <c r="J28" s="186">
        <v>200</v>
      </c>
      <c r="K28" s="58">
        <v>0</v>
      </c>
      <c r="L28" s="186">
        <v>100</v>
      </c>
      <c r="M28" s="58">
        <f t="shared" si="3"/>
        <v>300</v>
      </c>
      <c r="N28" s="157">
        <f>H28/M28+N26</f>
        <v>1.5736111111111111E-3</v>
      </c>
      <c r="O28" s="69">
        <f>S28*$H28</f>
        <v>0.10027777777777777</v>
      </c>
      <c r="P28" s="70">
        <f>T28*$H28</f>
        <v>0</v>
      </c>
      <c r="Q28" s="67">
        <f>U28*$H28</f>
        <v>5.0138888888888886E-2</v>
      </c>
      <c r="S28" s="21">
        <f t="shared" si="4"/>
        <v>0.66666666666666663</v>
      </c>
      <c r="T28" s="21">
        <f t="shared" si="5"/>
        <v>0</v>
      </c>
      <c r="U28" s="21">
        <f t="shared" si="6"/>
        <v>0.33333333333333331</v>
      </c>
      <c r="V28" s="153">
        <f t="shared" si="7"/>
        <v>1</v>
      </c>
      <c r="W28" s="3"/>
    </row>
    <row r="29" spans="2:28" x14ac:dyDescent="0.25">
      <c r="C29" s="77"/>
      <c r="E29" s="102"/>
      <c r="F29" s="49"/>
      <c r="G29" s="8"/>
      <c r="H29" s="8">
        <v>5</v>
      </c>
      <c r="I29" s="2" t="s">
        <v>169</v>
      </c>
      <c r="J29" s="4">
        <v>0</v>
      </c>
      <c r="K29" s="4">
        <v>0</v>
      </c>
      <c r="L29" s="4">
        <v>0</v>
      </c>
      <c r="M29" s="4">
        <v>0</v>
      </c>
      <c r="N29" s="114">
        <f>N28</f>
        <v>1.5736111111111111E-3</v>
      </c>
      <c r="W29" s="3"/>
    </row>
    <row r="30" spans="2:28" x14ac:dyDescent="0.25">
      <c r="C30" s="4"/>
      <c r="E30" s="102"/>
      <c r="F30" s="77"/>
      <c r="G30" s="113"/>
      <c r="H30" s="113"/>
      <c r="I30" s="95"/>
      <c r="K30" s="3"/>
      <c r="L30" s="3"/>
      <c r="M30" s="49"/>
      <c r="N30" s="26"/>
      <c r="O30" s="3"/>
      <c r="P30" s="3"/>
      <c r="U30" s="3"/>
      <c r="V30" s="3"/>
      <c r="W30" s="3"/>
      <c r="Z30" t="s">
        <v>252</v>
      </c>
    </row>
    <row r="31" spans="2:28" x14ac:dyDescent="0.25">
      <c r="E31" s="102"/>
      <c r="G31" s="113"/>
      <c r="H31" s="49"/>
      <c r="I31" s="49"/>
      <c r="K31" s="3"/>
      <c r="L31" s="3"/>
      <c r="M31" s="49"/>
      <c r="N31" s="26"/>
      <c r="O31" s="3"/>
      <c r="P31" s="3"/>
    </row>
    <row r="32" spans="2:28" ht="15.75" thickBot="1" x14ac:dyDescent="0.3">
      <c r="E32" s="148"/>
      <c r="F32" s="113"/>
      <c r="G32" s="2" t="s">
        <v>93</v>
      </c>
      <c r="H32" s="2" t="s">
        <v>94</v>
      </c>
      <c r="I32" s="2" t="s">
        <v>92</v>
      </c>
      <c r="J32" s="2" t="s">
        <v>170</v>
      </c>
      <c r="K32" s="2" t="s">
        <v>171</v>
      </c>
      <c r="L32" s="2" t="s">
        <v>56</v>
      </c>
      <c r="M32" s="2" t="s">
        <v>90</v>
      </c>
      <c r="N32" s="2" t="s">
        <v>91</v>
      </c>
      <c r="O32" s="2" t="s">
        <v>170</v>
      </c>
      <c r="P32" s="2" t="s">
        <v>171</v>
      </c>
      <c r="Q32" s="2" t="s">
        <v>56</v>
      </c>
      <c r="R32" s="2"/>
      <c r="S32" s="2" t="s">
        <v>89</v>
      </c>
      <c r="T32" s="2" t="s">
        <v>121</v>
      </c>
      <c r="U32" s="2" t="s">
        <v>122</v>
      </c>
      <c r="V32" s="2"/>
    </row>
    <row r="33" spans="2:29" x14ac:dyDescent="0.25">
      <c r="E33" s="139"/>
      <c r="F33" s="102"/>
      <c r="I33" s="62" t="s">
        <v>164</v>
      </c>
      <c r="J33" s="185">
        <v>250</v>
      </c>
      <c r="K33" s="55">
        <v>0</v>
      </c>
      <c r="L33" s="55">
        <v>0</v>
      </c>
      <c r="M33" s="55">
        <f t="shared" ref="M33:M42" si="8">SUM(J33:L33)</f>
        <v>250</v>
      </c>
      <c r="N33" s="155">
        <v>0</v>
      </c>
      <c r="O33" s="31"/>
      <c r="P33" s="68"/>
      <c r="Q33" s="32"/>
      <c r="Z33" s="2" t="s">
        <v>172</v>
      </c>
      <c r="AA33" s="13" t="s">
        <v>173</v>
      </c>
    </row>
    <row r="34" spans="2:29" ht="15.75" thickBot="1" x14ac:dyDescent="0.3">
      <c r="B34" s="1"/>
      <c r="G34" s="49">
        <v>2</v>
      </c>
      <c r="H34" s="49">
        <f>G34*0.05</f>
        <v>0.1</v>
      </c>
      <c r="I34" s="65">
        <v>1</v>
      </c>
      <c r="J34" s="186">
        <v>250</v>
      </c>
      <c r="K34" s="58">
        <v>0</v>
      </c>
      <c r="L34" s="58">
        <v>0</v>
      </c>
      <c r="M34" s="58">
        <f t="shared" si="8"/>
        <v>250</v>
      </c>
      <c r="N34" s="154">
        <f>H34/M34</f>
        <v>4.0000000000000002E-4</v>
      </c>
      <c r="O34" s="69">
        <f>S34*$H34</f>
        <v>0.1</v>
      </c>
      <c r="P34" s="92">
        <f>T34*$H34</f>
        <v>0</v>
      </c>
      <c r="Q34" s="67">
        <f>U34*$H34</f>
        <v>0</v>
      </c>
      <c r="R34" s="49">
        <f>test8OracleRevenue!P6</f>
        <v>0</v>
      </c>
      <c r="S34" s="21">
        <f t="shared" ref="S34:S42" si="9">J34/$M34</f>
        <v>1</v>
      </c>
      <c r="T34" s="21">
        <f t="shared" ref="T34:T42" si="10">K34/$M34</f>
        <v>0</v>
      </c>
      <c r="U34" s="21">
        <f t="shared" ref="U34:U42" si="11">L34/$M34</f>
        <v>0</v>
      </c>
      <c r="W34" s="2" t="s">
        <v>202</v>
      </c>
      <c r="X34" s="2" t="s">
        <v>92</v>
      </c>
      <c r="Y34" s="2" t="s">
        <v>176</v>
      </c>
      <c r="Z34" s="2" t="s">
        <v>174</v>
      </c>
      <c r="AA34" s="2"/>
    </row>
    <row r="35" spans="2:29" x14ac:dyDescent="0.25">
      <c r="E35" s="114"/>
      <c r="F35" s="102"/>
      <c r="G35" s="8"/>
      <c r="H35" s="8">
        <v>1</v>
      </c>
      <c r="I35" s="62" t="s">
        <v>165</v>
      </c>
      <c r="J35" s="185">
        <v>250</v>
      </c>
      <c r="K35" s="185">
        <v>150</v>
      </c>
      <c r="L35" s="55">
        <v>0</v>
      </c>
      <c r="M35" s="55">
        <f t="shared" si="8"/>
        <v>400</v>
      </c>
      <c r="N35" s="155">
        <f>N34</f>
        <v>4.0000000000000002E-4</v>
      </c>
      <c r="O35" s="71"/>
      <c r="P35" s="187"/>
      <c r="Q35" s="64"/>
      <c r="R35" s="49">
        <f>test8OracleRevenue!P7</f>
        <v>0</v>
      </c>
      <c r="S35" s="21">
        <f t="shared" si="9"/>
        <v>0.625</v>
      </c>
      <c r="T35" s="21">
        <f t="shared" si="10"/>
        <v>0.375</v>
      </c>
      <c r="U35" s="21">
        <f t="shared" si="11"/>
        <v>0</v>
      </c>
      <c r="W35" s="1">
        <v>0</v>
      </c>
      <c r="X35">
        <v>4</v>
      </c>
      <c r="Y35" s="4">
        <v>250</v>
      </c>
      <c r="Z35" s="149">
        <f>O34+O36+O38</f>
        <v>0.21250000000000002</v>
      </c>
      <c r="AA35" s="49">
        <v>212.5</v>
      </c>
    </row>
    <row r="36" spans="2:29" ht="15.75" thickBot="1" x14ac:dyDescent="0.3">
      <c r="B36" s="1"/>
      <c r="E36" s="140"/>
      <c r="G36" s="49">
        <v>2</v>
      </c>
      <c r="H36" s="49">
        <f>G36*0.05</f>
        <v>0.1</v>
      </c>
      <c r="I36" s="65">
        <v>2</v>
      </c>
      <c r="J36" s="186">
        <v>250</v>
      </c>
      <c r="K36" s="186">
        <v>150</v>
      </c>
      <c r="L36" s="58">
        <v>0</v>
      </c>
      <c r="M36" s="58">
        <f t="shared" si="8"/>
        <v>400</v>
      </c>
      <c r="N36" s="154">
        <f>H36/M36+N34</f>
        <v>6.4999999999999997E-4</v>
      </c>
      <c r="O36" s="69">
        <f>S36*$H36</f>
        <v>6.25E-2</v>
      </c>
      <c r="P36" s="188">
        <f>T36*$H36</f>
        <v>3.7500000000000006E-2</v>
      </c>
      <c r="Q36" s="67">
        <f>U36*$H36</f>
        <v>0</v>
      </c>
      <c r="R36" s="49">
        <f>test8OracleRevenue!P8</f>
        <v>3.7500000000000006E-2</v>
      </c>
      <c r="S36" s="21">
        <f t="shared" si="9"/>
        <v>0.625</v>
      </c>
      <c r="T36" s="21">
        <f t="shared" si="10"/>
        <v>0.375</v>
      </c>
      <c r="U36" s="21">
        <f t="shared" si="11"/>
        <v>0</v>
      </c>
      <c r="W36" s="1">
        <v>1</v>
      </c>
      <c r="X36">
        <v>5</v>
      </c>
      <c r="Y36" s="4">
        <v>150</v>
      </c>
      <c r="Z36" s="149">
        <f>P36+P38+P40</f>
        <v>9.4772727272727272E-2</v>
      </c>
      <c r="AA36" s="49">
        <v>94.65</v>
      </c>
    </row>
    <row r="37" spans="2:29" x14ac:dyDescent="0.25">
      <c r="E37" s="113"/>
      <c r="G37" s="8"/>
      <c r="H37" s="8">
        <v>1</v>
      </c>
      <c r="I37" s="62" t="s">
        <v>166</v>
      </c>
      <c r="J37" s="185">
        <v>250</v>
      </c>
      <c r="K37" s="185">
        <v>150</v>
      </c>
      <c r="L37" s="185">
        <v>100</v>
      </c>
      <c r="M37" s="55">
        <f t="shared" si="8"/>
        <v>500</v>
      </c>
      <c r="N37" s="155">
        <f>N36</f>
        <v>6.4999999999999997E-4</v>
      </c>
      <c r="O37" s="71"/>
      <c r="P37" s="189"/>
      <c r="Q37" s="64"/>
      <c r="R37" s="49">
        <f>test8OracleRevenue!P9</f>
        <v>0</v>
      </c>
      <c r="S37" s="21">
        <f t="shared" si="9"/>
        <v>0.5</v>
      </c>
      <c r="T37" s="21">
        <f t="shared" si="10"/>
        <v>0.3</v>
      </c>
      <c r="U37" s="21">
        <f t="shared" si="11"/>
        <v>0.2</v>
      </c>
      <c r="W37" s="1">
        <v>0</v>
      </c>
      <c r="X37">
        <v>6</v>
      </c>
      <c r="Y37" s="4">
        <v>300</v>
      </c>
      <c r="Z37" s="149">
        <f>O40+O42</f>
        <v>0.12954545454545455</v>
      </c>
      <c r="AA37" s="3">
        <v>129.30000000000001</v>
      </c>
    </row>
    <row r="38" spans="2:29" ht="15.75" thickBot="1" x14ac:dyDescent="0.3">
      <c r="B38" s="1"/>
      <c r="G38" s="49">
        <v>2</v>
      </c>
      <c r="H38" s="49">
        <f>G38*0.05</f>
        <v>0.1</v>
      </c>
      <c r="I38" s="65">
        <v>3</v>
      </c>
      <c r="J38" s="186">
        <v>250</v>
      </c>
      <c r="K38" s="186">
        <v>150</v>
      </c>
      <c r="L38" s="186">
        <v>100</v>
      </c>
      <c r="M38" s="58">
        <f t="shared" si="8"/>
        <v>500</v>
      </c>
      <c r="N38" s="154">
        <f>H38/M38+N36</f>
        <v>8.4999999999999995E-4</v>
      </c>
      <c r="O38" s="69">
        <f>S38*$H38</f>
        <v>0.05</v>
      </c>
      <c r="P38" s="188">
        <f>T38*$H38</f>
        <v>0.03</v>
      </c>
      <c r="Q38" s="67">
        <f>U38*$H38</f>
        <v>2.0000000000000004E-2</v>
      </c>
      <c r="R38" s="49">
        <f>test8OracleRevenue!P10</f>
        <v>0.03</v>
      </c>
      <c r="S38" s="21">
        <f t="shared" si="9"/>
        <v>0.5</v>
      </c>
      <c r="T38" s="21">
        <f t="shared" si="10"/>
        <v>0.3</v>
      </c>
      <c r="U38" s="21">
        <f t="shared" si="11"/>
        <v>0.2</v>
      </c>
      <c r="W38" s="1">
        <v>2</v>
      </c>
      <c r="X38">
        <v>6</v>
      </c>
      <c r="Y38" s="4">
        <v>100</v>
      </c>
      <c r="Z38" s="149">
        <f>Q38+Q40+Q42</f>
        <v>6.31818181818182E-2</v>
      </c>
      <c r="AA38" s="3">
        <v>63.1</v>
      </c>
    </row>
    <row r="39" spans="2:29" x14ac:dyDescent="0.25">
      <c r="G39" s="8"/>
      <c r="H39" s="8">
        <v>3</v>
      </c>
      <c r="I39" s="62" t="s">
        <v>167</v>
      </c>
      <c r="J39" s="185">
        <v>300</v>
      </c>
      <c r="K39" s="185">
        <v>150</v>
      </c>
      <c r="L39" s="185">
        <v>100</v>
      </c>
      <c r="M39" s="55">
        <f t="shared" si="8"/>
        <v>550</v>
      </c>
      <c r="N39" s="155">
        <f>N38</f>
        <v>8.4999999999999995E-4</v>
      </c>
      <c r="O39" s="71"/>
      <c r="P39" s="189"/>
      <c r="Q39" s="64"/>
      <c r="R39" s="49">
        <f>test8OracleRevenue!P11</f>
        <v>0</v>
      </c>
      <c r="S39" s="21">
        <f t="shared" si="9"/>
        <v>0.54545454545454541</v>
      </c>
      <c r="T39" s="21">
        <f t="shared" si="10"/>
        <v>0.27272727272727271</v>
      </c>
      <c r="U39" s="21">
        <f t="shared" si="11"/>
        <v>0.18181818181818182</v>
      </c>
      <c r="W39" s="1"/>
      <c r="Z39" s="19"/>
      <c r="AA39">
        <v>0.45</v>
      </c>
    </row>
    <row r="40" spans="2:29" ht="15.75" thickBot="1" x14ac:dyDescent="0.3">
      <c r="G40" s="49">
        <v>2</v>
      </c>
      <c r="H40" s="49">
        <f>G40*0.05</f>
        <v>0.1</v>
      </c>
      <c r="I40" s="65">
        <v>4</v>
      </c>
      <c r="J40" s="186">
        <v>300</v>
      </c>
      <c r="K40" s="186">
        <v>150</v>
      </c>
      <c r="L40" s="186">
        <v>100</v>
      </c>
      <c r="M40" s="58">
        <f t="shared" si="8"/>
        <v>550</v>
      </c>
      <c r="N40" s="154">
        <f>H40/M40+N38</f>
        <v>1.0318181818181817E-3</v>
      </c>
      <c r="O40" s="69">
        <f>S40*$H40</f>
        <v>5.4545454545454543E-2</v>
      </c>
      <c r="P40" s="188">
        <f>T40*$H40</f>
        <v>2.7272727272727271E-2</v>
      </c>
      <c r="Q40" s="67">
        <f>U40*$H40</f>
        <v>1.8181818181818184E-2</v>
      </c>
      <c r="R40" s="49">
        <f>test8OracleRevenue!P12</f>
        <v>3.3333333333333333E-2</v>
      </c>
      <c r="S40" s="21">
        <f t="shared" si="9"/>
        <v>0.54545454545454541</v>
      </c>
      <c r="T40" s="21">
        <f t="shared" si="10"/>
        <v>0.27272727272727271</v>
      </c>
      <c r="U40" s="21">
        <f t="shared" si="11"/>
        <v>0.18181818181818182</v>
      </c>
      <c r="W40" s="1"/>
      <c r="Z40" s="123"/>
      <c r="AA40" s="19">
        <f>SUM(AA35:AA39)</f>
        <v>500</v>
      </c>
    </row>
    <row r="41" spans="2:29" x14ac:dyDescent="0.25">
      <c r="B41" s="1"/>
      <c r="G41" s="8"/>
      <c r="H41" s="8">
        <v>4</v>
      </c>
      <c r="I41" s="62" t="s">
        <v>168</v>
      </c>
      <c r="J41" s="185">
        <v>300</v>
      </c>
      <c r="K41" s="185">
        <v>0</v>
      </c>
      <c r="L41" s="185">
        <v>100</v>
      </c>
      <c r="M41" s="55">
        <f t="shared" si="8"/>
        <v>400</v>
      </c>
      <c r="N41" s="155">
        <f>N40</f>
        <v>1.0318181818181817E-3</v>
      </c>
      <c r="O41" s="71"/>
      <c r="P41" s="187"/>
      <c r="Q41" s="64"/>
      <c r="R41" s="49">
        <f>test8OracleRevenue!P13</f>
        <v>0</v>
      </c>
      <c r="S41" s="21">
        <f t="shared" si="9"/>
        <v>0.75</v>
      </c>
      <c r="T41" s="21">
        <f t="shared" si="10"/>
        <v>0</v>
      </c>
      <c r="U41" s="21">
        <f t="shared" si="11"/>
        <v>0.25</v>
      </c>
    </row>
    <row r="42" spans="2:29" ht="15.75" thickBot="1" x14ac:dyDescent="0.3">
      <c r="G42" s="49">
        <v>2</v>
      </c>
      <c r="H42" s="49">
        <f>G42*0.05</f>
        <v>0.1</v>
      </c>
      <c r="I42" s="65">
        <v>5</v>
      </c>
      <c r="J42" s="186">
        <v>300</v>
      </c>
      <c r="K42" s="58">
        <v>0</v>
      </c>
      <c r="L42" s="186">
        <v>100</v>
      </c>
      <c r="M42" s="58">
        <f t="shared" si="8"/>
        <v>400</v>
      </c>
      <c r="N42" s="154">
        <f>H42/M42+N40</f>
        <v>1.2818181818181817E-3</v>
      </c>
      <c r="O42" s="69">
        <f>S42*$H42</f>
        <v>7.5000000000000011E-2</v>
      </c>
      <c r="P42" s="92">
        <f>T42*$H42</f>
        <v>0</v>
      </c>
      <c r="Q42" s="67">
        <f>U42*$H42</f>
        <v>2.5000000000000001E-2</v>
      </c>
      <c r="R42" s="49">
        <f>test8OracleRevenue!P14</f>
        <v>0</v>
      </c>
      <c r="S42" s="21">
        <f t="shared" si="9"/>
        <v>0.75</v>
      </c>
      <c r="T42" s="21">
        <f t="shared" si="10"/>
        <v>0</v>
      </c>
      <c r="U42" s="21">
        <f t="shared" si="11"/>
        <v>0.25</v>
      </c>
    </row>
    <row r="43" spans="2:29" x14ac:dyDescent="0.25">
      <c r="G43" s="8"/>
      <c r="H43" s="8"/>
      <c r="I43" s="2" t="s">
        <v>169</v>
      </c>
      <c r="J43" s="4">
        <v>0</v>
      </c>
      <c r="K43" s="4">
        <v>0</v>
      </c>
      <c r="L43" s="4">
        <v>0</v>
      </c>
      <c r="M43" s="4">
        <v>0</v>
      </c>
      <c r="N43" s="59">
        <f>N42</f>
        <v>1.2818181818181817E-3</v>
      </c>
    </row>
    <row r="44" spans="2:29" x14ac:dyDescent="0.25">
      <c r="B44" s="1"/>
      <c r="F44" s="2"/>
      <c r="G44" s="2"/>
      <c r="H44" s="2"/>
      <c r="L44" s="61"/>
      <c r="M44" s="8"/>
      <c r="N44" s="8"/>
      <c r="O44" s="8"/>
      <c r="P44" s="3"/>
      <c r="U44" s="21"/>
      <c r="V44" s="21"/>
      <c r="W44" s="21"/>
      <c r="Y44" s="49"/>
      <c r="Z44" s="49"/>
      <c r="AA44" s="49"/>
    </row>
    <row r="45" spans="2:29" x14ac:dyDescent="0.25">
      <c r="F45" s="4"/>
      <c r="G45" s="3"/>
      <c r="H45" s="3"/>
      <c r="L45" s="8"/>
      <c r="M45" s="8"/>
      <c r="N45" s="8"/>
      <c r="O45" s="8"/>
      <c r="P45" s="3"/>
      <c r="AA45" t="s">
        <v>253</v>
      </c>
    </row>
    <row r="46" spans="2:29" ht="15.75" thickBot="1" x14ac:dyDescent="0.3">
      <c r="F46" s="4"/>
      <c r="G46" s="2" t="s">
        <v>93</v>
      </c>
      <c r="H46" s="2" t="s">
        <v>94</v>
      </c>
      <c r="I46" s="2" t="s">
        <v>92</v>
      </c>
      <c r="J46" s="2" t="s">
        <v>170</v>
      </c>
      <c r="K46" s="2" t="s">
        <v>171</v>
      </c>
      <c r="L46" s="2" t="s">
        <v>56</v>
      </c>
      <c r="M46" s="2" t="s">
        <v>243</v>
      </c>
      <c r="N46" s="2" t="s">
        <v>245</v>
      </c>
      <c r="O46" s="2" t="s">
        <v>246</v>
      </c>
      <c r="P46" s="2"/>
      <c r="Q46" s="2" t="s">
        <v>170</v>
      </c>
      <c r="R46" s="2" t="s">
        <v>171</v>
      </c>
      <c r="S46" s="2" t="s">
        <v>56</v>
      </c>
      <c r="T46" s="2" t="s">
        <v>243</v>
      </c>
      <c r="U46" s="2" t="s">
        <v>89</v>
      </c>
      <c r="V46" s="2" t="s">
        <v>121</v>
      </c>
      <c r="W46" s="2" t="s">
        <v>122</v>
      </c>
      <c r="X46" s="2" t="s">
        <v>244</v>
      </c>
    </row>
    <row r="47" spans="2:29" ht="15.75" thickBot="1" x14ac:dyDescent="0.3">
      <c r="B47" s="1"/>
      <c r="F47" s="4"/>
      <c r="H47">
        <v>0</v>
      </c>
      <c r="I47" s="62" t="s">
        <v>164</v>
      </c>
      <c r="J47" s="63">
        <v>250</v>
      </c>
      <c r="K47" s="55">
        <v>0</v>
      </c>
      <c r="L47" s="55">
        <v>0</v>
      </c>
      <c r="M47" s="55"/>
      <c r="N47" s="58">
        <f t="shared" ref="N47:N56" si="12">SUM(J47:M47)</f>
        <v>250</v>
      </c>
      <c r="O47" s="156">
        <v>0</v>
      </c>
      <c r="P47" s="180"/>
      <c r="Q47" s="31"/>
      <c r="R47" s="68"/>
      <c r="S47" s="32"/>
      <c r="AB47" s="2" t="s">
        <v>172</v>
      </c>
      <c r="AC47" s="2" t="s">
        <v>173</v>
      </c>
    </row>
    <row r="48" spans="2:29" ht="15.75" thickBot="1" x14ac:dyDescent="0.3">
      <c r="F48" s="4"/>
      <c r="G48" s="49">
        <v>2</v>
      </c>
      <c r="H48" s="49">
        <f>G48*0.05</f>
        <v>0.1</v>
      </c>
      <c r="I48" s="65">
        <v>1</v>
      </c>
      <c r="J48" s="66">
        <v>250</v>
      </c>
      <c r="K48" s="58">
        <v>0</v>
      </c>
      <c r="L48" s="58">
        <v>0</v>
      </c>
      <c r="M48" s="58"/>
      <c r="N48" s="58">
        <f t="shared" si="12"/>
        <v>250</v>
      </c>
      <c r="O48" s="157">
        <f>H48/N48</f>
        <v>4.0000000000000002E-4</v>
      </c>
      <c r="P48" s="147"/>
      <c r="Q48" s="69">
        <f>U48*$H48</f>
        <v>0.1</v>
      </c>
      <c r="R48" s="70">
        <f>V48*$H48</f>
        <v>0</v>
      </c>
      <c r="S48" s="67">
        <f>W48*$H48</f>
        <v>0</v>
      </c>
      <c r="T48" s="67">
        <f>X48*$H48</f>
        <v>0</v>
      </c>
      <c r="U48" s="21">
        <f t="shared" ref="U48:U56" si="13">J48/$N48</f>
        <v>1</v>
      </c>
      <c r="V48" s="21">
        <f t="shared" ref="V48:V56" si="14">K48/$N48</f>
        <v>0</v>
      </c>
      <c r="W48" s="21">
        <f t="shared" ref="W48:W56" si="15">L48/$N48</f>
        <v>0</v>
      </c>
      <c r="X48" s="21">
        <f t="shared" ref="X48:X56" si="16">M48/$N48</f>
        <v>0</v>
      </c>
      <c r="Y48" s="153">
        <f t="shared" ref="Y48:Y56" si="17">SUM(U48:X48)</f>
        <v>1</v>
      </c>
      <c r="AA48" s="2" t="s">
        <v>158</v>
      </c>
      <c r="AB48" s="2" t="s">
        <v>174</v>
      </c>
      <c r="AC48" s="2"/>
    </row>
    <row r="49" spans="2:30" ht="15.75" thickBot="1" x14ac:dyDescent="0.3">
      <c r="F49" s="4"/>
      <c r="G49" s="8"/>
      <c r="H49" s="8"/>
      <c r="I49" s="62" t="s">
        <v>165</v>
      </c>
      <c r="J49" s="63">
        <v>250</v>
      </c>
      <c r="K49" s="63">
        <v>150</v>
      </c>
      <c r="L49" s="55">
        <v>0</v>
      </c>
      <c r="M49" s="55">
        <v>20</v>
      </c>
      <c r="N49" s="58">
        <f t="shared" si="12"/>
        <v>420</v>
      </c>
      <c r="O49" s="156">
        <f>O48</f>
        <v>4.0000000000000002E-4</v>
      </c>
      <c r="P49" s="180"/>
      <c r="Q49" s="71"/>
      <c r="R49" s="72"/>
      <c r="S49" s="64"/>
      <c r="T49" s="64"/>
      <c r="U49" s="21">
        <f t="shared" si="13"/>
        <v>0.59523809523809523</v>
      </c>
      <c r="V49" s="21">
        <f t="shared" si="14"/>
        <v>0.35714285714285715</v>
      </c>
      <c r="W49" s="21">
        <f t="shared" si="15"/>
        <v>0</v>
      </c>
      <c r="X49" s="21">
        <f t="shared" si="16"/>
        <v>4.7619047619047616E-2</v>
      </c>
      <c r="Y49" s="153">
        <f t="shared" si="17"/>
        <v>1</v>
      </c>
      <c r="AA49" s="4">
        <v>250000000</v>
      </c>
      <c r="AB49" s="150">
        <f>(Q48+Q50+Q52)</f>
        <v>0.20582010582010585</v>
      </c>
      <c r="AC49" s="73">
        <f>AA49*INT((O52-O47)*test10oracleRewards!C20)/1000000000000000</f>
        <v>0.20582</v>
      </c>
    </row>
    <row r="50" spans="2:30" ht="15.75" thickBot="1" x14ac:dyDescent="0.3">
      <c r="F50" s="4"/>
      <c r="G50" s="49">
        <v>2</v>
      </c>
      <c r="H50" s="49">
        <f>G50*0.05</f>
        <v>0.1</v>
      </c>
      <c r="I50" s="65">
        <v>2</v>
      </c>
      <c r="J50" s="66">
        <v>250</v>
      </c>
      <c r="K50" s="66">
        <v>150</v>
      </c>
      <c r="L50" s="58">
        <v>0</v>
      </c>
      <c r="M50" s="58">
        <v>20</v>
      </c>
      <c r="N50" s="58">
        <f t="shared" si="12"/>
        <v>420</v>
      </c>
      <c r="O50" s="157">
        <f>H50/N50+O48</f>
        <v>6.3809523809523817E-4</v>
      </c>
      <c r="P50" s="147"/>
      <c r="Q50" s="69">
        <f>U50*$H50</f>
        <v>5.9523809523809527E-2</v>
      </c>
      <c r="R50" s="70">
        <f>V50*$H50</f>
        <v>3.5714285714285719E-2</v>
      </c>
      <c r="S50" s="67">
        <f>W50*$H50</f>
        <v>0</v>
      </c>
      <c r="T50" s="154">
        <f>X50*$H50</f>
        <v>4.7619047619047623E-3</v>
      </c>
      <c r="U50" s="21">
        <f t="shared" si="13"/>
        <v>0.59523809523809523</v>
      </c>
      <c r="V50" s="21">
        <f t="shared" si="14"/>
        <v>0.35714285714285715</v>
      </c>
      <c r="W50" s="21">
        <f t="shared" si="15"/>
        <v>0</v>
      </c>
      <c r="X50" s="21">
        <f t="shared" si="16"/>
        <v>4.7619047619047616E-2</v>
      </c>
      <c r="Y50" s="153">
        <f t="shared" si="17"/>
        <v>1</v>
      </c>
      <c r="AA50" s="4">
        <v>150000000</v>
      </c>
      <c r="AB50" s="150">
        <f>R50+R52+R54</f>
        <v>9.2903828197945862E-2</v>
      </c>
      <c r="AC50" s="73">
        <f>AA50*INT((O54-O48)*test10oracleRewards!C21)/1000000000000000</f>
        <v>9.2903700000000006E-2</v>
      </c>
    </row>
    <row r="51" spans="2:30" ht="15.75" thickBot="1" x14ac:dyDescent="0.3">
      <c r="F51" s="4"/>
      <c r="G51" s="8"/>
      <c r="H51" s="8"/>
      <c r="I51" s="62" t="s">
        <v>166</v>
      </c>
      <c r="J51" s="63">
        <v>250</v>
      </c>
      <c r="K51" s="63">
        <v>150</v>
      </c>
      <c r="L51" s="63">
        <v>100</v>
      </c>
      <c r="M51" s="63">
        <v>40</v>
      </c>
      <c r="N51" s="58">
        <f t="shared" si="12"/>
        <v>540</v>
      </c>
      <c r="O51" s="156">
        <f>O50</f>
        <v>6.3809523809523817E-4</v>
      </c>
      <c r="P51" s="180"/>
      <c r="Q51" s="71"/>
      <c r="R51" s="72"/>
      <c r="S51" s="64"/>
      <c r="T51" s="155"/>
      <c r="U51" s="21">
        <f t="shared" si="13"/>
        <v>0.46296296296296297</v>
      </c>
      <c r="V51" s="21">
        <f t="shared" si="14"/>
        <v>0.27777777777777779</v>
      </c>
      <c r="W51" s="21">
        <f t="shared" si="15"/>
        <v>0.18518518518518517</v>
      </c>
      <c r="X51" s="21">
        <f t="shared" si="16"/>
        <v>7.407407407407407E-2</v>
      </c>
      <c r="Y51" s="153">
        <f t="shared" si="17"/>
        <v>0.99999999999999989</v>
      </c>
      <c r="AA51" s="4">
        <v>200000000</v>
      </c>
      <c r="AB51" s="150">
        <f>Q54+Q56</f>
        <v>9.1847265221878222E-2</v>
      </c>
      <c r="AC51" s="73">
        <f>AA51*INT((O56-O52)*test10oracleRewards!C22)/1000000000000000</f>
        <v>9.1847200000000004E-2</v>
      </c>
    </row>
    <row r="52" spans="2:30" ht="15.75" thickBot="1" x14ac:dyDescent="0.3">
      <c r="F52" s="4"/>
      <c r="G52" s="49">
        <v>2</v>
      </c>
      <c r="H52" s="49">
        <f>G52*0.05</f>
        <v>0.1</v>
      </c>
      <c r="I52" s="65">
        <v>3</v>
      </c>
      <c r="J52" s="66">
        <v>250</v>
      </c>
      <c r="K52" s="66">
        <v>150</v>
      </c>
      <c r="L52" s="66">
        <v>100</v>
      </c>
      <c r="M52" s="66">
        <v>40</v>
      </c>
      <c r="N52" s="158">
        <f t="shared" si="12"/>
        <v>540</v>
      </c>
      <c r="O52" s="159">
        <f>H52/N52+O50</f>
        <v>8.2328042328042332E-4</v>
      </c>
      <c r="P52" s="114">
        <v>560000000</v>
      </c>
      <c r="Q52" s="160">
        <f>U52*$H52</f>
        <v>4.6296296296296301E-2</v>
      </c>
      <c r="R52" s="161">
        <f>V52*$H52</f>
        <v>2.777777777777778E-2</v>
      </c>
      <c r="S52" s="162">
        <f>W52*$H52</f>
        <v>1.8518518518518517E-2</v>
      </c>
      <c r="T52" s="163">
        <f>X52*$H52</f>
        <v>7.4074074074074077E-3</v>
      </c>
      <c r="U52" s="21">
        <f t="shared" si="13"/>
        <v>0.46296296296296297</v>
      </c>
      <c r="V52" s="21">
        <f t="shared" si="14"/>
        <v>0.27777777777777779</v>
      </c>
      <c r="W52" s="21">
        <f t="shared" si="15"/>
        <v>0.18518518518518517</v>
      </c>
      <c r="X52" s="21">
        <f t="shared" si="16"/>
        <v>7.407407407407407E-2</v>
      </c>
      <c r="Y52" s="153">
        <f t="shared" si="17"/>
        <v>0.99999999999999989</v>
      </c>
      <c r="AA52" s="4">
        <v>100000000</v>
      </c>
      <c r="AB52" s="150">
        <f>S52+S54+S56</f>
        <v>6.4442151129457628E-2</v>
      </c>
      <c r="AC52" s="73">
        <f>AA52*INT((O56-O50)*test10oracleRewards!C23)/1000000000000000</f>
        <v>6.4442100000000002E-2</v>
      </c>
    </row>
    <row r="53" spans="2:30" ht="15.75" thickBot="1" x14ac:dyDescent="0.3">
      <c r="F53" s="4"/>
      <c r="G53" s="8"/>
      <c r="H53" s="8"/>
      <c r="I53" s="62" t="s">
        <v>167</v>
      </c>
      <c r="J53" s="63">
        <v>200</v>
      </c>
      <c r="K53" s="63">
        <v>150</v>
      </c>
      <c r="L53" s="63">
        <v>100</v>
      </c>
      <c r="M53" s="63">
        <v>60</v>
      </c>
      <c r="N53" s="158">
        <f t="shared" si="12"/>
        <v>510</v>
      </c>
      <c r="O53" s="164">
        <f>O52</f>
        <v>8.2328042328042332E-4</v>
      </c>
      <c r="P53" s="181"/>
      <c r="Q53" s="165"/>
      <c r="R53" s="166"/>
      <c r="S53" s="167"/>
      <c r="T53" s="168"/>
      <c r="U53" s="21">
        <f t="shared" si="13"/>
        <v>0.39215686274509803</v>
      </c>
      <c r="V53" s="21">
        <f t="shared" si="14"/>
        <v>0.29411764705882354</v>
      </c>
      <c r="W53" s="21">
        <f t="shared" si="15"/>
        <v>0.19607843137254902</v>
      </c>
      <c r="X53" s="21">
        <f t="shared" si="16"/>
        <v>0.11764705882352941</v>
      </c>
      <c r="Y53" s="153">
        <f t="shared" si="17"/>
        <v>1</v>
      </c>
      <c r="AA53" s="4">
        <v>99999999</v>
      </c>
      <c r="AB53" s="59">
        <f>T56+T54+T52+T50</f>
        <v>4.4986649630612469E-2</v>
      </c>
      <c r="AC53" s="3">
        <f>SUM(AB49:AB53)</f>
        <v>0.5</v>
      </c>
    </row>
    <row r="54" spans="2:30" ht="15.75" thickBot="1" x14ac:dyDescent="0.3">
      <c r="F54" s="4"/>
      <c r="G54" s="49">
        <v>2</v>
      </c>
      <c r="H54" s="49">
        <f>G54*0.05</f>
        <v>0.1</v>
      </c>
      <c r="I54" s="65">
        <v>4</v>
      </c>
      <c r="J54" s="66">
        <v>200</v>
      </c>
      <c r="K54" s="66">
        <v>150</v>
      </c>
      <c r="L54" s="66">
        <v>100</v>
      </c>
      <c r="M54" s="66">
        <v>60</v>
      </c>
      <c r="N54" s="169">
        <f t="shared" si="12"/>
        <v>510</v>
      </c>
      <c r="O54" s="170">
        <f>H54/N54+O52</f>
        <v>1.0193588546529722E-3</v>
      </c>
      <c r="P54" s="182"/>
      <c r="Q54" s="171">
        <f>U54*$H54</f>
        <v>3.9215686274509803E-2</v>
      </c>
      <c r="R54" s="172">
        <f>V54*$H54</f>
        <v>2.9411764705882356E-2</v>
      </c>
      <c r="S54" s="173">
        <f>W54*$H54</f>
        <v>1.9607843137254902E-2</v>
      </c>
      <c r="T54" s="174">
        <f>X54*$H54</f>
        <v>1.1764705882352941E-2</v>
      </c>
      <c r="U54" s="21">
        <f t="shared" si="13"/>
        <v>0.39215686274509803</v>
      </c>
      <c r="V54" s="21">
        <f t="shared" si="14"/>
        <v>0.29411764705882354</v>
      </c>
      <c r="W54" s="21">
        <f t="shared" si="15"/>
        <v>0.19607843137254902</v>
      </c>
      <c r="X54" s="21">
        <f t="shared" si="16"/>
        <v>0.11764705882352941</v>
      </c>
      <c r="Y54" s="153">
        <f t="shared" si="17"/>
        <v>1</v>
      </c>
      <c r="AB54" s="54"/>
    </row>
    <row r="55" spans="2:30" ht="15.75" thickBot="1" x14ac:dyDescent="0.3">
      <c r="B55" s="1"/>
      <c r="G55" s="8"/>
      <c r="H55" s="8">
        <v>4</v>
      </c>
      <c r="I55" s="62" t="s">
        <v>168</v>
      </c>
      <c r="J55" s="63">
        <v>200</v>
      </c>
      <c r="K55" s="63">
        <v>0</v>
      </c>
      <c r="L55" s="63">
        <v>100</v>
      </c>
      <c r="M55" s="63">
        <v>80</v>
      </c>
      <c r="N55" s="169">
        <f t="shared" si="12"/>
        <v>380</v>
      </c>
      <c r="O55" s="175">
        <f>O54</f>
        <v>1.0193588546529722E-3</v>
      </c>
      <c r="P55" s="183"/>
      <c r="Q55" s="176"/>
      <c r="R55" s="177"/>
      <c r="S55" s="178"/>
      <c r="T55" s="179"/>
      <c r="U55" s="21">
        <f t="shared" si="13"/>
        <v>0.52631578947368418</v>
      </c>
      <c r="V55" s="21">
        <f t="shared" si="14"/>
        <v>0</v>
      </c>
      <c r="W55" s="21">
        <f t="shared" si="15"/>
        <v>0.26315789473684209</v>
      </c>
      <c r="X55" s="21">
        <f t="shared" si="16"/>
        <v>0.21052631578947367</v>
      </c>
      <c r="Y55" s="153">
        <f t="shared" si="17"/>
        <v>1</v>
      </c>
    </row>
    <row r="56" spans="2:30" ht="15.75" thickBot="1" x14ac:dyDescent="0.3">
      <c r="G56" s="49">
        <v>2</v>
      </c>
      <c r="H56" s="49">
        <f>G56*0.05</f>
        <v>0.1</v>
      </c>
      <c r="I56" s="65">
        <v>5</v>
      </c>
      <c r="J56" s="66">
        <v>200</v>
      </c>
      <c r="K56" s="58">
        <v>0</v>
      </c>
      <c r="L56" s="66">
        <v>100</v>
      </c>
      <c r="M56" s="66">
        <v>80</v>
      </c>
      <c r="N56" s="58">
        <f t="shared" si="12"/>
        <v>380</v>
      </c>
      <c r="O56" s="157">
        <f>H56/N56+O54</f>
        <v>1.2825167493898143E-3</v>
      </c>
      <c r="P56" s="147"/>
      <c r="Q56" s="69">
        <f>U56*$H56</f>
        <v>5.2631578947368418E-2</v>
      </c>
      <c r="R56" s="70">
        <f>V56*$H56</f>
        <v>0</v>
      </c>
      <c r="S56" s="67">
        <f>W56*$H56</f>
        <v>2.6315789473684209E-2</v>
      </c>
      <c r="T56" s="154">
        <f>X56*$H56</f>
        <v>2.1052631578947368E-2</v>
      </c>
      <c r="U56" s="21">
        <f t="shared" si="13"/>
        <v>0.52631578947368418</v>
      </c>
      <c r="V56" s="21">
        <f t="shared" si="14"/>
        <v>0</v>
      </c>
      <c r="W56" s="21">
        <f t="shared" si="15"/>
        <v>0.26315789473684209</v>
      </c>
      <c r="X56" s="21">
        <f t="shared" si="16"/>
        <v>0.21052631578947367</v>
      </c>
      <c r="Y56" s="153">
        <f t="shared" si="17"/>
        <v>1</v>
      </c>
    </row>
    <row r="57" spans="2:30" x14ac:dyDescent="0.25">
      <c r="B57" s="1"/>
      <c r="G57" s="8"/>
      <c r="H57" s="8">
        <v>5</v>
      </c>
      <c r="I57" s="2" t="s">
        <v>169</v>
      </c>
      <c r="J57" s="4">
        <v>0</v>
      </c>
      <c r="K57" s="4">
        <v>0</v>
      </c>
      <c r="L57" s="4">
        <v>0</v>
      </c>
      <c r="M57" s="4">
        <v>100</v>
      </c>
      <c r="N57" s="4">
        <v>0</v>
      </c>
      <c r="O57" s="114">
        <f>O56</f>
        <v>1.2825167493898143E-3</v>
      </c>
      <c r="P57" s="114"/>
    </row>
    <row r="58" spans="2:30" x14ac:dyDescent="0.25">
      <c r="I58" s="4"/>
      <c r="J58" s="1"/>
      <c r="N58" s="21"/>
      <c r="O58" s="21"/>
      <c r="P58" s="21"/>
      <c r="Q58" s="4"/>
      <c r="R58" s="4"/>
      <c r="S58" s="4"/>
      <c r="T58" s="4"/>
      <c r="U58" s="3"/>
      <c r="V58" s="3"/>
      <c r="W58" s="3"/>
    </row>
    <row r="59" spans="2:30" x14ac:dyDescent="0.25">
      <c r="B59" s="1"/>
      <c r="I59" s="4"/>
      <c r="J59" s="1"/>
      <c r="N59" s="21"/>
      <c r="O59" s="21"/>
      <c r="P59" s="21"/>
      <c r="U59" s="3"/>
      <c r="V59" s="3"/>
      <c r="W59" s="3"/>
    </row>
    <row r="60" spans="2:30" x14ac:dyDescent="0.25">
      <c r="AD60" s="29"/>
    </row>
    <row r="61" spans="2:30" x14ac:dyDescent="0.25">
      <c r="AD61" s="29"/>
    </row>
    <row r="66" spans="2:27" x14ac:dyDescent="0.25">
      <c r="B66" s="1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</row>
    <row r="67" spans="2:27" x14ac:dyDescent="0.25">
      <c r="L67" s="61"/>
      <c r="M67" s="8"/>
      <c r="N67" s="8"/>
      <c r="O67" s="8"/>
      <c r="P67" s="3"/>
    </row>
    <row r="68" spans="2:27" x14ac:dyDescent="0.25">
      <c r="B68" s="1"/>
      <c r="J68" s="1"/>
      <c r="L68" s="8"/>
      <c r="M68" s="8"/>
      <c r="N68" s="8"/>
      <c r="O68" s="8"/>
      <c r="P68" s="3"/>
      <c r="U68" s="21"/>
      <c r="V68" s="21"/>
      <c r="W68" s="21"/>
      <c r="Y68" s="49"/>
      <c r="Z68" s="49"/>
      <c r="AA68" s="49"/>
    </row>
    <row r="69" spans="2:27" x14ac:dyDescent="0.25">
      <c r="L69" s="8"/>
      <c r="M69" s="61"/>
      <c r="N69" s="8"/>
      <c r="O69" s="8"/>
      <c r="P69" s="3"/>
      <c r="U69" s="21"/>
      <c r="V69" s="21"/>
      <c r="W69" s="21"/>
      <c r="Y69" s="49"/>
      <c r="Z69" s="49"/>
      <c r="AA69" s="49"/>
    </row>
    <row r="70" spans="2:27" x14ac:dyDescent="0.25">
      <c r="B70" s="1"/>
      <c r="L70" s="8"/>
      <c r="M70" s="8"/>
      <c r="N70" s="8"/>
      <c r="O70" s="8"/>
      <c r="P70" s="3"/>
      <c r="U70" s="21"/>
      <c r="V70" s="21"/>
      <c r="W70" s="21"/>
      <c r="Y70" s="49"/>
      <c r="Z70" s="49"/>
      <c r="AA70" s="49"/>
    </row>
    <row r="71" spans="2:27" x14ac:dyDescent="0.25">
      <c r="L71" s="8"/>
      <c r="M71" s="8"/>
      <c r="N71" s="61"/>
      <c r="O71" s="8"/>
      <c r="P71" s="3"/>
      <c r="U71" s="21"/>
      <c r="V71" s="21"/>
      <c r="W71" s="21"/>
      <c r="Y71" s="49"/>
      <c r="Z71" s="49"/>
      <c r="AA71" s="49"/>
    </row>
    <row r="72" spans="2:27" x14ac:dyDescent="0.25">
      <c r="L72" s="8"/>
      <c r="M72" s="8"/>
      <c r="N72" s="61"/>
      <c r="O72" s="8"/>
      <c r="P72" s="3"/>
      <c r="U72" s="21"/>
      <c r="V72" s="21"/>
      <c r="W72" s="21"/>
      <c r="Y72" s="49"/>
      <c r="Z72" s="49"/>
      <c r="AA72" s="49"/>
    </row>
    <row r="73" spans="2:27" x14ac:dyDescent="0.25">
      <c r="B73" s="1"/>
      <c r="L73" s="61"/>
      <c r="M73" s="8"/>
      <c r="N73" s="61"/>
      <c r="O73" s="8"/>
      <c r="P73" s="3"/>
      <c r="U73" s="21"/>
      <c r="V73" s="21"/>
      <c r="W73" s="21"/>
      <c r="Y73" s="49"/>
      <c r="Z73" s="49"/>
      <c r="AA73" s="49"/>
    </row>
    <row r="74" spans="2:27" x14ac:dyDescent="0.25">
      <c r="L74" s="61"/>
      <c r="M74" s="8"/>
      <c r="N74" s="61"/>
      <c r="O74" s="8"/>
      <c r="P74" s="3"/>
      <c r="U74" s="21"/>
      <c r="V74" s="21"/>
      <c r="W74" s="21"/>
      <c r="Y74" s="49"/>
      <c r="Z74" s="49"/>
      <c r="AA74" s="49"/>
    </row>
    <row r="75" spans="2:27" x14ac:dyDescent="0.25">
      <c r="L75" s="61"/>
      <c r="M75" s="61"/>
      <c r="N75" s="61"/>
      <c r="O75" s="8"/>
      <c r="P75" s="3"/>
      <c r="U75" s="21"/>
      <c r="V75" s="21"/>
      <c r="W75" s="21"/>
      <c r="Y75" s="49"/>
      <c r="Z75" s="49"/>
      <c r="AA75" s="49"/>
    </row>
    <row r="76" spans="2:27" x14ac:dyDescent="0.25">
      <c r="B76" s="1"/>
      <c r="F76" s="2"/>
      <c r="G76" s="2"/>
      <c r="H76" s="2"/>
      <c r="L76" s="61"/>
      <c r="M76" s="8"/>
      <c r="N76" s="61"/>
      <c r="O76" s="8"/>
      <c r="P76" s="3"/>
      <c r="U76" s="21"/>
      <c r="V76" s="21"/>
      <c r="W76" s="21"/>
      <c r="Y76" s="49"/>
      <c r="Z76" s="49"/>
      <c r="AA76" s="49"/>
    </row>
    <row r="77" spans="2:27" x14ac:dyDescent="0.25">
      <c r="F77" s="4"/>
      <c r="G77" s="3"/>
      <c r="H77" s="49"/>
      <c r="L77" s="8"/>
      <c r="M77" s="8"/>
      <c r="N77" s="8"/>
      <c r="O77" s="8"/>
      <c r="P77" s="3"/>
    </row>
    <row r="78" spans="2:27" x14ac:dyDescent="0.25">
      <c r="F78" s="4"/>
      <c r="G78" s="3"/>
      <c r="H78" s="3"/>
      <c r="L78" s="4"/>
      <c r="M78" s="4"/>
      <c r="N78" s="4"/>
      <c r="P78" s="3"/>
      <c r="Y78" s="4"/>
      <c r="Z78" s="4"/>
      <c r="AA78" s="4"/>
    </row>
    <row r="79" spans="2:27" x14ac:dyDescent="0.25">
      <c r="B79" s="1"/>
      <c r="F79" s="4"/>
      <c r="G79" s="3"/>
      <c r="H79" s="3"/>
      <c r="J79" s="44"/>
      <c r="L79" s="4"/>
      <c r="M79" s="4"/>
      <c r="N79" s="4"/>
      <c r="P79" s="3"/>
    </row>
    <row r="80" spans="2:27" x14ac:dyDescent="0.25">
      <c r="F80" s="4"/>
      <c r="G80" s="3"/>
      <c r="H80" s="49"/>
      <c r="L80" s="4"/>
      <c r="M80" s="4"/>
      <c r="N80" s="4"/>
      <c r="P80" s="3"/>
    </row>
    <row r="81" spans="6:27" x14ac:dyDescent="0.25">
      <c r="F81" s="4"/>
      <c r="G81" s="3"/>
      <c r="H81" s="3"/>
      <c r="P81" s="3"/>
    </row>
    <row r="82" spans="6:27" x14ac:dyDescent="0.25">
      <c r="F82" s="4"/>
      <c r="G82" s="3"/>
      <c r="H82" s="3"/>
      <c r="I82" s="4"/>
      <c r="J82" s="1"/>
      <c r="O82" s="29"/>
      <c r="P82" s="3"/>
    </row>
    <row r="83" spans="6:27" x14ac:dyDescent="0.25">
      <c r="F83" s="4"/>
      <c r="G83" s="3"/>
      <c r="H83" s="3"/>
      <c r="I83" s="4"/>
      <c r="J83" s="1"/>
      <c r="O83" s="29"/>
      <c r="P83" s="3"/>
      <c r="V83" s="29"/>
    </row>
    <row r="84" spans="6:27" x14ac:dyDescent="0.25">
      <c r="F84" s="4"/>
      <c r="G84" s="3"/>
      <c r="H84" s="3"/>
      <c r="I84" s="4"/>
      <c r="J84" s="1"/>
      <c r="N84" s="4"/>
      <c r="O84" s="29"/>
      <c r="P84" s="29"/>
      <c r="Q84" s="4"/>
      <c r="R84" s="4"/>
      <c r="S84" s="4"/>
      <c r="T84" s="4"/>
      <c r="U84" s="4"/>
      <c r="V84" s="27"/>
      <c r="W84" s="4"/>
      <c r="Y84" s="28"/>
      <c r="Z84" s="28"/>
      <c r="AA84" s="28"/>
    </row>
    <row r="85" spans="6:27" x14ac:dyDescent="0.25">
      <c r="F85" s="4"/>
      <c r="G85" s="3"/>
      <c r="H85" s="59"/>
      <c r="I85" s="4"/>
      <c r="J85" s="1"/>
      <c r="K85" s="29"/>
      <c r="L85" s="29"/>
      <c r="N85" s="4"/>
      <c r="O85" s="4"/>
      <c r="P85" s="3"/>
      <c r="Q85" s="4"/>
      <c r="R85" s="4"/>
      <c r="S85" s="4"/>
      <c r="T85" s="4"/>
      <c r="U85" s="4"/>
      <c r="V85" s="27"/>
      <c r="W85" s="4"/>
      <c r="Y85" s="28"/>
      <c r="Z85" s="28"/>
      <c r="AA85" s="28"/>
    </row>
    <row r="86" spans="6:27" x14ac:dyDescent="0.25">
      <c r="F86" s="4"/>
      <c r="G86" s="3"/>
      <c r="H86" s="3"/>
      <c r="I86" s="4"/>
      <c r="J86" s="1"/>
      <c r="K86" s="29"/>
      <c r="L86" s="29"/>
      <c r="N86" s="4"/>
      <c r="O86" s="1"/>
      <c r="P86" s="4"/>
      <c r="Q86" s="4"/>
      <c r="R86" s="4"/>
      <c r="S86" s="4"/>
      <c r="T86" s="4"/>
      <c r="U86" s="4"/>
      <c r="V86" s="27"/>
      <c r="W86" s="4"/>
      <c r="Y86" s="28"/>
      <c r="Z86" s="28"/>
      <c r="AA86" s="28"/>
    </row>
    <row r="87" spans="6:27" x14ac:dyDescent="0.25">
      <c r="H87" s="15"/>
      <c r="I87" s="4"/>
      <c r="J87" s="1"/>
      <c r="Q87" s="4"/>
      <c r="R87" s="4"/>
      <c r="S87" s="4"/>
      <c r="T87" s="4"/>
      <c r="Y87" s="28"/>
      <c r="Z87" s="28"/>
      <c r="AA87" s="28"/>
    </row>
    <row r="88" spans="6:27" x14ac:dyDescent="0.25">
      <c r="I88" s="4"/>
      <c r="J88" s="1"/>
      <c r="N88" s="21"/>
      <c r="O88" s="21"/>
      <c r="P88" s="21"/>
      <c r="Q88" s="4"/>
      <c r="R88" s="4"/>
      <c r="S88" s="4"/>
      <c r="T88" s="4"/>
      <c r="U88" s="3"/>
      <c r="V88" s="3"/>
      <c r="W88" s="3"/>
      <c r="Y88" s="28"/>
      <c r="Z88" s="28"/>
      <c r="AA88" s="28"/>
    </row>
    <row r="89" spans="6:27" x14ac:dyDescent="0.25">
      <c r="I89" s="4"/>
      <c r="J89" s="1"/>
      <c r="N89" s="21"/>
      <c r="O89" s="1"/>
      <c r="P89" s="21"/>
      <c r="U89" s="3"/>
      <c r="V89" s="3"/>
      <c r="W89" s="3"/>
    </row>
    <row r="90" spans="6:27" x14ac:dyDescent="0.25">
      <c r="I90" s="4"/>
      <c r="J90" s="1"/>
      <c r="N90" s="21"/>
      <c r="O90" s="21"/>
      <c r="P90" s="21"/>
      <c r="Q90" s="4"/>
      <c r="R90" s="4"/>
      <c r="S90" s="4"/>
      <c r="T90" s="4"/>
      <c r="U90" s="3"/>
      <c r="V90" s="3"/>
      <c r="W90" s="3"/>
    </row>
    <row r="91" spans="6:27" x14ac:dyDescent="0.25">
      <c r="I91" s="4"/>
      <c r="J91" s="1"/>
      <c r="N91" s="21"/>
      <c r="O91" s="21"/>
      <c r="P91" s="21"/>
      <c r="U91" s="3"/>
      <c r="V91" s="3"/>
      <c r="W91" s="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0B484-B479-4FA8-A24D-4FB8532F84DE}">
  <sheetPr codeName="Sheet14"/>
  <dimension ref="B1:AD91"/>
  <sheetViews>
    <sheetView zoomScale="75" zoomScaleNormal="75" workbookViewId="0">
      <selection activeCell="O14" sqref="O14"/>
    </sheetView>
  </sheetViews>
  <sheetFormatPr defaultRowHeight="15" x14ac:dyDescent="0.25"/>
  <cols>
    <col min="3" max="3" width="12.140625" customWidth="1"/>
    <col min="4" max="4" width="17.5703125" bestFit="1" customWidth="1"/>
    <col min="5" max="5" width="16.140625" customWidth="1"/>
    <col min="6" max="6" width="18" customWidth="1"/>
    <col min="7" max="7" width="15" customWidth="1"/>
    <col min="8" max="8" width="17.5703125" customWidth="1"/>
    <col min="9" max="9" width="10.42578125" bestFit="1" customWidth="1"/>
    <col min="10" max="10" width="12" customWidth="1"/>
    <col min="11" max="16" width="10.7109375" customWidth="1"/>
    <col min="21" max="21" width="10.28515625" customWidth="1"/>
    <col min="22" max="22" width="11.7109375" customWidth="1"/>
    <col min="30" max="30" width="16.85546875" bestFit="1" customWidth="1"/>
  </cols>
  <sheetData>
    <row r="1" spans="2:25" x14ac:dyDescent="0.25">
      <c r="B1" s="1" t="s">
        <v>45</v>
      </c>
    </row>
    <row r="2" spans="2:25" x14ac:dyDescent="0.25">
      <c r="L2" s="8"/>
      <c r="O2" t="s">
        <v>107</v>
      </c>
      <c r="S2" t="s">
        <v>108</v>
      </c>
    </row>
    <row r="3" spans="2:25" x14ac:dyDescent="0.25">
      <c r="B3" s="1" t="s">
        <v>57</v>
      </c>
    </row>
    <row r="5" spans="2:25" x14ac:dyDescent="0.25">
      <c r="B5" s="1" t="s">
        <v>61</v>
      </c>
      <c r="F5" s="1">
        <v>1</v>
      </c>
    </row>
    <row r="6" spans="2:25" x14ac:dyDescent="0.25">
      <c r="C6" t="s">
        <v>59</v>
      </c>
      <c r="F6" s="1"/>
    </row>
    <row r="7" spans="2:25" x14ac:dyDescent="0.25">
      <c r="C7" t="s">
        <v>60</v>
      </c>
      <c r="F7" s="1">
        <v>2</v>
      </c>
    </row>
    <row r="8" spans="2:25" x14ac:dyDescent="0.25">
      <c r="C8" t="s">
        <v>58</v>
      </c>
      <c r="F8" s="1"/>
    </row>
    <row r="9" spans="2:25" x14ac:dyDescent="0.25">
      <c r="F9" s="1">
        <v>3</v>
      </c>
    </row>
    <row r="10" spans="2:25" x14ac:dyDescent="0.25">
      <c r="F10" s="1"/>
    </row>
    <row r="11" spans="2:25" x14ac:dyDescent="0.25">
      <c r="B11" t="s">
        <v>92</v>
      </c>
      <c r="F11" s="1">
        <v>4</v>
      </c>
    </row>
    <row r="12" spans="2:25" x14ac:dyDescent="0.25">
      <c r="B12" s="1">
        <v>1</v>
      </c>
      <c r="C12" t="s">
        <v>106</v>
      </c>
      <c r="F12" s="1"/>
    </row>
    <row r="13" spans="2:25" x14ac:dyDescent="0.25">
      <c r="B13" s="1">
        <v>2</v>
      </c>
      <c r="C13" t="s">
        <v>105</v>
      </c>
      <c r="F13" s="1">
        <v>5</v>
      </c>
    </row>
    <row r="14" spans="2:25" x14ac:dyDescent="0.25">
      <c r="B14" s="1">
        <v>3</v>
      </c>
      <c r="C14" t="s">
        <v>104</v>
      </c>
      <c r="F14" s="1"/>
    </row>
    <row r="15" spans="2:25" x14ac:dyDescent="0.25">
      <c r="B15" s="1">
        <v>4</v>
      </c>
      <c r="C15" t="s">
        <v>103</v>
      </c>
      <c r="F15" s="1">
        <v>6</v>
      </c>
    </row>
    <row r="16" spans="2:25" x14ac:dyDescent="0.25">
      <c r="B16" s="1">
        <v>5</v>
      </c>
      <c r="C16" t="s">
        <v>102</v>
      </c>
      <c r="J16" s="4"/>
      <c r="K16" s="4"/>
      <c r="L16" s="4"/>
      <c r="N16" s="3"/>
      <c r="O16" s="3"/>
      <c r="P16" s="3"/>
      <c r="Q16" s="3"/>
      <c r="W16" s="4"/>
      <c r="X16" s="4"/>
      <c r="Y16" s="4"/>
    </row>
    <row r="17" spans="2:28" x14ac:dyDescent="0.25">
      <c r="B17" s="1">
        <v>6</v>
      </c>
      <c r="C17" t="s">
        <v>101</v>
      </c>
      <c r="H17" s="44"/>
    </row>
    <row r="18" spans="2:28" x14ac:dyDescent="0.25">
      <c r="C18" t="s">
        <v>100</v>
      </c>
      <c r="P18" s="3"/>
      <c r="AB18" s="28"/>
    </row>
    <row r="19" spans="2:28" x14ac:dyDescent="0.25">
      <c r="P19" s="3"/>
      <c r="AB19" s="28"/>
    </row>
    <row r="20" spans="2:28" x14ac:dyDescent="0.25">
      <c r="O20" s="29"/>
      <c r="P20" s="3"/>
      <c r="AB20" s="28"/>
    </row>
    <row r="21" spans="2:28" x14ac:dyDescent="0.25">
      <c r="O21" s="29"/>
      <c r="P21" s="3"/>
      <c r="V21" s="29"/>
      <c r="AB21" s="28"/>
    </row>
    <row r="22" spans="2:28" x14ac:dyDescent="0.25">
      <c r="G22" s="2"/>
      <c r="H22" s="2"/>
      <c r="O22" s="29"/>
      <c r="P22" s="29"/>
      <c r="Q22" s="4"/>
      <c r="R22" s="4"/>
      <c r="S22" s="4"/>
      <c r="T22" s="4"/>
      <c r="U22" s="4"/>
      <c r="V22" s="27"/>
      <c r="W22" s="4"/>
      <c r="Y22" s="28"/>
      <c r="Z22" s="28"/>
      <c r="AA22" s="28"/>
      <c r="AB22" s="28"/>
    </row>
    <row r="23" spans="2:28" x14ac:dyDescent="0.25">
      <c r="G23" s="2"/>
      <c r="H23" s="116"/>
      <c r="O23" s="4"/>
      <c r="P23" s="3"/>
      <c r="Q23" s="4"/>
      <c r="R23" s="4"/>
      <c r="S23" s="4"/>
      <c r="T23" s="4"/>
      <c r="U23" s="4"/>
      <c r="V23" s="27"/>
      <c r="W23" s="4"/>
      <c r="Y23" s="28"/>
      <c r="Z23" s="28"/>
      <c r="AA23" s="28"/>
    </row>
    <row r="24" spans="2:28" x14ac:dyDescent="0.25">
      <c r="G24" s="2"/>
      <c r="H24" s="2"/>
      <c r="O24" s="1"/>
      <c r="P24" s="4"/>
      <c r="Q24" s="4"/>
      <c r="R24" s="4"/>
      <c r="S24" s="4"/>
      <c r="T24" s="4"/>
      <c r="U24" s="4"/>
      <c r="V24" s="27"/>
      <c r="W24" s="4"/>
      <c r="Y24" s="28"/>
      <c r="Z24" s="28"/>
      <c r="AA24" s="28"/>
    </row>
    <row r="25" spans="2:28" x14ac:dyDescent="0.25">
      <c r="G25" s="2"/>
      <c r="H25" s="2"/>
      <c r="Q25" s="4"/>
      <c r="R25" s="4"/>
      <c r="S25" s="4"/>
      <c r="T25" s="4"/>
      <c r="Y25" s="28"/>
      <c r="Z25" s="28"/>
      <c r="AA25" s="28"/>
    </row>
    <row r="26" spans="2:28" x14ac:dyDescent="0.25">
      <c r="G26" s="47"/>
      <c r="H26" s="2"/>
      <c r="O26" s="21"/>
      <c r="P26" s="21"/>
      <c r="Q26" s="4"/>
      <c r="R26" s="4"/>
      <c r="S26" s="4"/>
      <c r="T26" s="4"/>
      <c r="U26" s="3"/>
      <c r="V26" s="3"/>
      <c r="W26" s="3"/>
      <c r="Y26" s="28"/>
      <c r="Z26" s="28"/>
      <c r="AA26" s="28"/>
    </row>
    <row r="27" spans="2:28" x14ac:dyDescent="0.25">
      <c r="H27" s="15"/>
      <c r="I27" s="4"/>
      <c r="J27" s="1"/>
      <c r="L27" s="3"/>
      <c r="M27" s="60"/>
      <c r="N27" s="21"/>
      <c r="O27" s="1"/>
      <c r="P27" s="21"/>
      <c r="U27" s="3"/>
      <c r="V27" s="3"/>
      <c r="W27" s="3"/>
    </row>
    <row r="28" spans="2:28" x14ac:dyDescent="0.25">
      <c r="E28" s="15"/>
      <c r="F28" s="1"/>
      <c r="H28" s="15"/>
      <c r="I28" s="4"/>
      <c r="J28" s="4"/>
      <c r="K28" s="4"/>
      <c r="L28" s="4"/>
      <c r="M28" s="4"/>
      <c r="N28" s="4"/>
      <c r="O28" s="21"/>
      <c r="P28" s="21"/>
      <c r="Q28" s="4"/>
      <c r="R28" s="4"/>
      <c r="S28" s="4"/>
      <c r="T28" s="4"/>
      <c r="U28" s="3"/>
      <c r="V28" s="3"/>
      <c r="W28" s="3"/>
    </row>
    <row r="29" spans="2:28" x14ac:dyDescent="0.25">
      <c r="H29" s="15"/>
      <c r="I29" s="4"/>
      <c r="J29" s="4"/>
      <c r="K29" s="4"/>
      <c r="L29" s="4"/>
      <c r="M29" s="4"/>
      <c r="N29" s="4"/>
      <c r="O29" s="21"/>
      <c r="P29" s="21"/>
      <c r="U29" s="3"/>
      <c r="V29" s="3"/>
      <c r="W29" s="3"/>
    </row>
    <row r="30" spans="2:28" x14ac:dyDescent="0.25">
      <c r="F30" s="4"/>
      <c r="J30" s="4"/>
      <c r="K30" s="4"/>
      <c r="L30" s="4"/>
      <c r="M30" s="4"/>
      <c r="N30" s="4"/>
      <c r="O30" s="21"/>
      <c r="P30" s="21"/>
      <c r="U30" s="3"/>
      <c r="V30" s="3"/>
      <c r="W30" s="3"/>
    </row>
    <row r="31" spans="2:28" x14ac:dyDescent="0.25">
      <c r="F31" s="102"/>
      <c r="J31" s="4"/>
      <c r="K31" s="4"/>
      <c r="L31" s="4"/>
      <c r="M31" s="4"/>
      <c r="N31" s="4"/>
    </row>
    <row r="32" spans="2:28" x14ac:dyDescent="0.25">
      <c r="H32" s="15"/>
      <c r="J32" s="4"/>
      <c r="K32" s="4"/>
      <c r="L32" s="4"/>
      <c r="M32" s="4"/>
      <c r="N32" s="4"/>
    </row>
    <row r="33" spans="2:27" x14ac:dyDescent="0.25">
      <c r="D33" s="77"/>
      <c r="J33" s="4"/>
      <c r="K33" s="4"/>
      <c r="L33" s="4"/>
      <c r="M33" s="4"/>
      <c r="N33" s="4"/>
    </row>
    <row r="34" spans="2:27" x14ac:dyDescent="0.25">
      <c r="B34" s="1"/>
      <c r="I34" s="2"/>
      <c r="J34" s="4"/>
      <c r="K34" s="4"/>
      <c r="L34" s="4"/>
      <c r="M34" s="4"/>
      <c r="N34" s="4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</row>
    <row r="35" spans="2:27" x14ac:dyDescent="0.25">
      <c r="J35" s="4"/>
      <c r="K35" s="4"/>
      <c r="L35" s="4"/>
      <c r="M35" s="4"/>
      <c r="N35" s="4"/>
      <c r="O35" s="8"/>
      <c r="P35" s="3"/>
    </row>
    <row r="36" spans="2:27" x14ac:dyDescent="0.25">
      <c r="B36" s="1"/>
      <c r="J36" s="4"/>
      <c r="K36" s="4"/>
      <c r="L36" s="4"/>
      <c r="M36" s="4"/>
      <c r="N36" s="4"/>
      <c r="O36" s="8"/>
      <c r="P36" s="3"/>
      <c r="U36" s="21"/>
      <c r="V36" s="21"/>
      <c r="W36" s="21"/>
      <c r="Y36" s="49"/>
      <c r="Z36" s="49"/>
      <c r="AA36" s="49"/>
    </row>
    <row r="37" spans="2:27" x14ac:dyDescent="0.25">
      <c r="J37" s="4"/>
      <c r="K37" s="4"/>
      <c r="L37" s="4"/>
      <c r="M37" s="4"/>
      <c r="N37" s="4"/>
      <c r="O37" s="8"/>
      <c r="P37" s="3"/>
      <c r="U37" s="21"/>
      <c r="V37" s="21"/>
      <c r="W37" s="21"/>
      <c r="Y37" s="49"/>
      <c r="Z37" s="49"/>
      <c r="AA37" s="49"/>
    </row>
    <row r="38" spans="2:27" x14ac:dyDescent="0.25">
      <c r="B38" s="1"/>
      <c r="J38" s="4"/>
      <c r="K38" s="4"/>
      <c r="L38" s="4"/>
      <c r="M38" s="4"/>
      <c r="N38" s="4"/>
      <c r="O38" s="8"/>
      <c r="P38" s="3"/>
      <c r="U38" s="21"/>
      <c r="V38" s="21"/>
      <c r="W38" s="21"/>
      <c r="Y38" s="49"/>
      <c r="Z38" s="49"/>
      <c r="AA38" s="49"/>
    </row>
    <row r="39" spans="2:27" x14ac:dyDescent="0.25">
      <c r="L39" s="8"/>
      <c r="M39" s="8"/>
      <c r="N39" s="61"/>
      <c r="O39" s="8"/>
      <c r="P39" s="3"/>
      <c r="U39" s="21"/>
      <c r="V39" s="21"/>
      <c r="W39" s="21"/>
      <c r="Y39" s="49"/>
      <c r="Z39" s="49"/>
      <c r="AA39" s="49"/>
    </row>
    <row r="40" spans="2:27" x14ac:dyDescent="0.25">
      <c r="L40" s="8"/>
      <c r="M40" s="8"/>
      <c r="N40" s="8"/>
      <c r="O40" s="8"/>
      <c r="P40" s="3"/>
      <c r="U40" s="21"/>
      <c r="V40" s="21"/>
      <c r="W40" s="21"/>
      <c r="Y40" s="49"/>
      <c r="Z40" s="49"/>
      <c r="AA40" s="49"/>
    </row>
    <row r="41" spans="2:27" x14ac:dyDescent="0.25">
      <c r="B41" s="1"/>
      <c r="L41" s="61"/>
      <c r="M41" s="8"/>
      <c r="N41" s="8"/>
      <c r="O41" s="8"/>
      <c r="P41" s="3"/>
      <c r="U41" s="21"/>
      <c r="V41" s="21"/>
      <c r="W41" s="21"/>
      <c r="Y41" s="49"/>
      <c r="Z41" s="49"/>
      <c r="AA41" s="49"/>
    </row>
    <row r="42" spans="2:27" x14ac:dyDescent="0.25">
      <c r="L42" s="61"/>
      <c r="M42" s="8"/>
      <c r="N42" s="8"/>
      <c r="O42" s="8"/>
      <c r="P42" s="3"/>
      <c r="U42" s="21"/>
      <c r="V42" s="21"/>
      <c r="W42" s="21"/>
      <c r="Y42" s="49"/>
      <c r="Z42" s="49"/>
      <c r="AA42" s="49"/>
    </row>
    <row r="43" spans="2:27" x14ac:dyDescent="0.25">
      <c r="L43" s="61"/>
      <c r="M43" s="61"/>
      <c r="N43" s="8"/>
      <c r="O43" s="8"/>
      <c r="P43" s="3"/>
      <c r="U43" s="21"/>
      <c r="V43" s="21"/>
      <c r="W43" s="21"/>
      <c r="Y43" s="49"/>
      <c r="Z43" s="49"/>
      <c r="AA43" s="49"/>
    </row>
    <row r="44" spans="2:27" x14ac:dyDescent="0.25">
      <c r="B44" s="1"/>
      <c r="F44" s="2"/>
      <c r="G44" s="2"/>
      <c r="H44" s="2"/>
      <c r="L44" s="61"/>
      <c r="M44" s="8"/>
      <c r="N44" s="8"/>
      <c r="O44" s="8"/>
      <c r="P44" s="3"/>
      <c r="U44" s="21"/>
      <c r="V44" s="21"/>
      <c r="W44" s="21"/>
      <c r="Y44" s="49"/>
      <c r="Z44" s="49"/>
      <c r="AA44" s="49"/>
    </row>
    <row r="45" spans="2:27" x14ac:dyDescent="0.25">
      <c r="F45" s="4"/>
      <c r="G45" s="3"/>
      <c r="H45" s="3"/>
      <c r="L45" s="8"/>
      <c r="M45" s="8"/>
      <c r="N45" s="8"/>
      <c r="O45" s="8"/>
      <c r="P45" s="3"/>
    </row>
    <row r="46" spans="2:27" x14ac:dyDescent="0.25">
      <c r="F46" s="4"/>
      <c r="G46" s="3"/>
      <c r="H46" s="3"/>
      <c r="L46" s="4"/>
      <c r="M46" s="4"/>
      <c r="N46" s="4"/>
      <c r="P46" s="3"/>
      <c r="Y46" s="4"/>
      <c r="Z46" s="4"/>
      <c r="AA46" s="4"/>
    </row>
    <row r="47" spans="2:27" x14ac:dyDescent="0.25">
      <c r="B47" s="1"/>
      <c r="F47" s="4"/>
      <c r="G47" s="3"/>
      <c r="H47" s="3"/>
      <c r="J47" s="44"/>
      <c r="L47" s="4"/>
      <c r="M47" s="4"/>
      <c r="N47" s="4"/>
      <c r="P47" s="3"/>
    </row>
    <row r="48" spans="2:27" x14ac:dyDescent="0.25">
      <c r="F48" s="4"/>
      <c r="G48" s="3"/>
      <c r="H48" s="49"/>
      <c r="L48" s="4"/>
      <c r="M48" s="4"/>
      <c r="N48" s="4"/>
      <c r="P48" s="3"/>
    </row>
    <row r="49" spans="2:30" x14ac:dyDescent="0.25">
      <c r="F49" s="4"/>
      <c r="G49" s="3"/>
      <c r="H49" s="3"/>
      <c r="P49" s="3"/>
    </row>
    <row r="50" spans="2:30" x14ac:dyDescent="0.25">
      <c r="F50" s="4"/>
      <c r="G50" s="3"/>
      <c r="H50" s="3"/>
      <c r="I50" s="4"/>
      <c r="J50" s="1"/>
      <c r="O50" s="29"/>
      <c r="P50" s="3"/>
    </row>
    <row r="51" spans="2:30" x14ac:dyDescent="0.25">
      <c r="F51" s="4"/>
      <c r="G51" s="3"/>
      <c r="H51" s="3"/>
      <c r="I51" s="4"/>
      <c r="J51" s="1"/>
      <c r="O51" s="29"/>
      <c r="P51" s="3"/>
      <c r="V51" s="29"/>
    </row>
    <row r="52" spans="2:30" x14ac:dyDescent="0.25">
      <c r="F52" s="4"/>
      <c r="G52" s="3"/>
      <c r="H52" s="3"/>
      <c r="I52" s="4"/>
      <c r="J52" s="1"/>
      <c r="N52" s="4"/>
      <c r="O52" s="29"/>
      <c r="P52" s="29"/>
      <c r="Q52" s="4"/>
      <c r="R52" s="4"/>
      <c r="S52" s="4"/>
      <c r="T52" s="4"/>
      <c r="U52" s="4"/>
      <c r="V52" s="27"/>
      <c r="W52" s="4"/>
      <c r="Y52" s="28"/>
      <c r="Z52" s="28"/>
      <c r="AA52" s="28"/>
    </row>
    <row r="53" spans="2:30" x14ac:dyDescent="0.25">
      <c r="F53" s="4"/>
      <c r="G53" s="3"/>
      <c r="H53" s="3"/>
      <c r="I53" s="4"/>
      <c r="J53" s="1"/>
      <c r="K53" s="29"/>
      <c r="L53" s="29"/>
      <c r="N53" s="4"/>
      <c r="O53" s="4"/>
      <c r="P53" s="3"/>
      <c r="Q53" s="4"/>
      <c r="R53" s="4"/>
      <c r="S53" s="4"/>
      <c r="T53" s="4"/>
      <c r="U53" s="4"/>
      <c r="V53" s="27"/>
      <c r="W53" s="4"/>
      <c r="Y53" s="28"/>
      <c r="Z53" s="28"/>
      <c r="AA53" s="28"/>
    </row>
    <row r="54" spans="2:30" x14ac:dyDescent="0.25">
      <c r="F54" s="4"/>
      <c r="G54" s="3"/>
      <c r="H54" s="3"/>
      <c r="I54" s="4"/>
      <c r="J54" s="1"/>
      <c r="K54" s="29"/>
      <c r="L54" s="29"/>
      <c r="N54" s="4"/>
      <c r="O54" s="1"/>
      <c r="P54" s="4"/>
      <c r="Q54" s="4"/>
      <c r="R54" s="4"/>
      <c r="S54" s="4"/>
      <c r="T54" s="4"/>
      <c r="U54" s="4"/>
      <c r="V54" s="27"/>
      <c r="W54" s="4"/>
      <c r="Y54" s="28"/>
      <c r="Z54" s="28"/>
      <c r="AA54" s="28"/>
    </row>
    <row r="55" spans="2:30" x14ac:dyDescent="0.25">
      <c r="B55" s="1"/>
      <c r="H55" s="15"/>
      <c r="I55" s="4"/>
      <c r="J55" s="1"/>
      <c r="Q55" s="4"/>
      <c r="R55" s="4"/>
      <c r="S55" s="4"/>
      <c r="T55" s="4"/>
      <c r="Y55" s="28"/>
      <c r="Z55" s="28"/>
      <c r="AA55" s="28"/>
    </row>
    <row r="56" spans="2:30" x14ac:dyDescent="0.25">
      <c r="I56" s="4"/>
      <c r="J56" s="1"/>
      <c r="N56" s="21"/>
      <c r="O56" s="21"/>
      <c r="P56" s="21"/>
      <c r="Q56" s="4"/>
      <c r="R56" s="4"/>
      <c r="S56" s="4"/>
      <c r="T56" s="4"/>
      <c r="U56" s="3"/>
      <c r="V56" s="3"/>
      <c r="W56" s="3"/>
      <c r="Y56" s="28"/>
      <c r="Z56" s="28"/>
      <c r="AA56" s="28"/>
    </row>
    <row r="57" spans="2:30" x14ac:dyDescent="0.25">
      <c r="B57" s="1"/>
      <c r="I57" s="4"/>
      <c r="J57" s="1"/>
      <c r="N57" s="21"/>
      <c r="O57" s="1"/>
      <c r="P57" s="21"/>
      <c r="U57" s="3"/>
      <c r="V57" s="3"/>
      <c r="W57" s="3"/>
    </row>
    <row r="58" spans="2:30" x14ac:dyDescent="0.25">
      <c r="I58" s="4"/>
      <c r="J58" s="1"/>
      <c r="N58" s="21"/>
      <c r="O58" s="21"/>
      <c r="P58" s="21"/>
      <c r="Q58" s="4"/>
      <c r="R58" s="4"/>
      <c r="S58" s="4"/>
      <c r="T58" s="4"/>
      <c r="U58" s="3"/>
      <c r="V58" s="3"/>
      <c r="W58" s="3"/>
    </row>
    <row r="59" spans="2:30" x14ac:dyDescent="0.25">
      <c r="B59" s="1"/>
      <c r="I59" s="4"/>
      <c r="J59" s="1"/>
      <c r="N59" s="21"/>
      <c r="O59" s="21"/>
      <c r="P59" s="21"/>
      <c r="U59" s="3"/>
      <c r="V59" s="3"/>
      <c r="W59" s="3"/>
    </row>
    <row r="60" spans="2:30" x14ac:dyDescent="0.25">
      <c r="AD60" s="29"/>
    </row>
    <row r="61" spans="2:30" x14ac:dyDescent="0.25">
      <c r="AD61" s="29"/>
    </row>
    <row r="66" spans="2:27" x14ac:dyDescent="0.25">
      <c r="B66" s="1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</row>
    <row r="67" spans="2:27" x14ac:dyDescent="0.25">
      <c r="L67" s="61"/>
      <c r="M67" s="8"/>
      <c r="N67" s="8"/>
      <c r="O67" s="8"/>
      <c r="P67" s="3"/>
    </row>
    <row r="68" spans="2:27" x14ac:dyDescent="0.25">
      <c r="B68" s="1"/>
      <c r="J68" s="1"/>
      <c r="L68" s="8"/>
      <c r="M68" s="8"/>
      <c r="N68" s="8"/>
      <c r="O68" s="8"/>
      <c r="P68" s="3"/>
      <c r="U68" s="21"/>
      <c r="V68" s="21"/>
      <c r="W68" s="21"/>
      <c r="Y68" s="49"/>
      <c r="Z68" s="49"/>
      <c r="AA68" s="49"/>
    </row>
    <row r="69" spans="2:27" x14ac:dyDescent="0.25">
      <c r="L69" s="8"/>
      <c r="M69" s="61"/>
      <c r="N69" s="8"/>
      <c r="O69" s="8"/>
      <c r="P69" s="3"/>
      <c r="U69" s="21"/>
      <c r="V69" s="21"/>
      <c r="W69" s="21"/>
      <c r="Y69" s="49"/>
      <c r="Z69" s="49"/>
      <c r="AA69" s="49"/>
    </row>
    <row r="70" spans="2:27" x14ac:dyDescent="0.25">
      <c r="B70" s="1"/>
      <c r="L70" s="8"/>
      <c r="M70" s="8"/>
      <c r="N70" s="8"/>
      <c r="O70" s="8"/>
      <c r="P70" s="3"/>
      <c r="U70" s="21"/>
      <c r="V70" s="21"/>
      <c r="W70" s="21"/>
      <c r="Y70" s="49"/>
      <c r="Z70" s="49"/>
      <c r="AA70" s="49"/>
    </row>
    <row r="71" spans="2:27" x14ac:dyDescent="0.25">
      <c r="L71" s="8"/>
      <c r="M71" s="8"/>
      <c r="N71" s="61"/>
      <c r="O71" s="8"/>
      <c r="P71" s="3"/>
      <c r="U71" s="21"/>
      <c r="V71" s="21"/>
      <c r="W71" s="21"/>
      <c r="Y71" s="49"/>
      <c r="Z71" s="49"/>
      <c r="AA71" s="49"/>
    </row>
    <row r="72" spans="2:27" x14ac:dyDescent="0.25">
      <c r="L72" s="8"/>
      <c r="M72" s="8"/>
      <c r="N72" s="61"/>
      <c r="O72" s="8"/>
      <c r="P72" s="3"/>
      <c r="U72" s="21"/>
      <c r="V72" s="21"/>
      <c r="W72" s="21"/>
      <c r="Y72" s="49"/>
      <c r="Z72" s="49"/>
      <c r="AA72" s="49"/>
    </row>
    <row r="73" spans="2:27" x14ac:dyDescent="0.25">
      <c r="B73" s="1"/>
      <c r="L73" s="61"/>
      <c r="M73" s="8"/>
      <c r="N73" s="61"/>
      <c r="O73" s="8"/>
      <c r="P73" s="3"/>
      <c r="U73" s="21"/>
      <c r="V73" s="21"/>
      <c r="W73" s="21"/>
      <c r="Y73" s="49"/>
      <c r="Z73" s="49"/>
      <c r="AA73" s="49"/>
    </row>
    <row r="74" spans="2:27" x14ac:dyDescent="0.25">
      <c r="L74" s="61"/>
      <c r="M74" s="8"/>
      <c r="N74" s="61"/>
      <c r="O74" s="8"/>
      <c r="P74" s="3"/>
      <c r="U74" s="21"/>
      <c r="V74" s="21"/>
      <c r="W74" s="21"/>
      <c r="Y74" s="49"/>
      <c r="Z74" s="49"/>
      <c r="AA74" s="49"/>
    </row>
    <row r="75" spans="2:27" x14ac:dyDescent="0.25">
      <c r="L75" s="61"/>
      <c r="M75" s="61"/>
      <c r="N75" s="61"/>
      <c r="O75" s="8"/>
      <c r="P75" s="3"/>
      <c r="U75" s="21"/>
      <c r="V75" s="21"/>
      <c r="W75" s="21"/>
      <c r="Y75" s="49"/>
      <c r="Z75" s="49"/>
      <c r="AA75" s="49"/>
    </row>
    <row r="76" spans="2:27" x14ac:dyDescent="0.25">
      <c r="B76" s="1"/>
      <c r="F76" s="2"/>
      <c r="G76" s="2"/>
      <c r="H76" s="2"/>
      <c r="L76" s="61"/>
      <c r="M76" s="8"/>
      <c r="N76" s="61"/>
      <c r="O76" s="8"/>
      <c r="P76" s="3"/>
      <c r="U76" s="21"/>
      <c r="V76" s="21"/>
      <c r="W76" s="21"/>
      <c r="Y76" s="49"/>
      <c r="Z76" s="49"/>
      <c r="AA76" s="49"/>
    </row>
    <row r="77" spans="2:27" x14ac:dyDescent="0.25">
      <c r="F77" s="4"/>
      <c r="G77" s="3"/>
      <c r="H77" s="49"/>
      <c r="L77" s="8"/>
      <c r="M77" s="8"/>
      <c r="N77" s="8"/>
      <c r="O77" s="8"/>
      <c r="P77" s="3"/>
    </row>
    <row r="78" spans="2:27" x14ac:dyDescent="0.25">
      <c r="F78" s="4"/>
      <c r="G78" s="3"/>
      <c r="H78" s="3"/>
      <c r="L78" s="4"/>
      <c r="M78" s="4"/>
      <c r="N78" s="4"/>
      <c r="P78" s="3"/>
      <c r="Y78" s="4"/>
      <c r="Z78" s="4"/>
      <c r="AA78" s="4"/>
    </row>
    <row r="79" spans="2:27" x14ac:dyDescent="0.25">
      <c r="B79" s="1"/>
      <c r="F79" s="4"/>
      <c r="G79" s="3"/>
      <c r="H79" s="3"/>
      <c r="J79" s="44"/>
      <c r="L79" s="4"/>
      <c r="M79" s="4"/>
      <c r="N79" s="4"/>
      <c r="P79" s="3"/>
    </row>
    <row r="80" spans="2:27" x14ac:dyDescent="0.25">
      <c r="F80" s="4"/>
      <c r="G80" s="3"/>
      <c r="H80" s="49"/>
      <c r="L80" s="4"/>
      <c r="M80" s="4"/>
      <c r="N80" s="4"/>
      <c r="P80" s="3"/>
    </row>
    <row r="81" spans="6:27" x14ac:dyDescent="0.25">
      <c r="F81" s="4"/>
      <c r="G81" s="3"/>
      <c r="H81" s="3"/>
      <c r="P81" s="3"/>
    </row>
    <row r="82" spans="6:27" x14ac:dyDescent="0.25">
      <c r="F82" s="4"/>
      <c r="G82" s="3"/>
      <c r="H82" s="3"/>
      <c r="I82" s="4"/>
      <c r="J82" s="1"/>
      <c r="O82" s="29"/>
      <c r="P82" s="3"/>
    </row>
    <row r="83" spans="6:27" x14ac:dyDescent="0.25">
      <c r="F83" s="4"/>
      <c r="G83" s="3"/>
      <c r="H83" s="3"/>
      <c r="I83" s="4"/>
      <c r="J83" s="1"/>
      <c r="O83" s="29"/>
      <c r="P83" s="3"/>
      <c r="V83" s="29"/>
    </row>
    <row r="84" spans="6:27" x14ac:dyDescent="0.25">
      <c r="F84" s="4"/>
      <c r="G84" s="3"/>
      <c r="H84" s="3"/>
      <c r="I84" s="4"/>
      <c r="J84" s="1"/>
      <c r="N84" s="4"/>
      <c r="O84" s="29"/>
      <c r="P84" s="29"/>
      <c r="Q84" s="4"/>
      <c r="R84" s="4"/>
      <c r="S84" s="4"/>
      <c r="T84" s="4"/>
      <c r="U84" s="4"/>
      <c r="V84" s="27"/>
      <c r="W84" s="4"/>
      <c r="Y84" s="28"/>
      <c r="Z84" s="28"/>
      <c r="AA84" s="28"/>
    </row>
    <row r="85" spans="6:27" x14ac:dyDescent="0.25">
      <c r="F85" s="4"/>
      <c r="G85" s="3"/>
      <c r="H85" s="59"/>
      <c r="I85" s="4"/>
      <c r="J85" s="1"/>
      <c r="K85" s="29"/>
      <c r="L85" s="29"/>
      <c r="N85" s="4"/>
      <c r="O85" s="4"/>
      <c r="P85" s="3"/>
      <c r="Q85" s="4"/>
      <c r="R85" s="4"/>
      <c r="S85" s="4"/>
      <c r="T85" s="4"/>
      <c r="U85" s="4"/>
      <c r="V85" s="27"/>
      <c r="W85" s="4"/>
      <c r="Y85" s="28"/>
      <c r="Z85" s="28"/>
      <c r="AA85" s="28"/>
    </row>
    <row r="86" spans="6:27" x14ac:dyDescent="0.25">
      <c r="F86" s="4"/>
      <c r="G86" s="3"/>
      <c r="H86" s="3"/>
      <c r="I86" s="4"/>
      <c r="J86" s="1"/>
      <c r="K86" s="29"/>
      <c r="L86" s="29"/>
      <c r="N86" s="4"/>
      <c r="O86" s="1"/>
      <c r="P86" s="4"/>
      <c r="Q86" s="4"/>
      <c r="R86" s="4"/>
      <c r="S86" s="4"/>
      <c r="T86" s="4"/>
      <c r="U86" s="4"/>
      <c r="V86" s="27"/>
      <c r="W86" s="4"/>
      <c r="Y86" s="28"/>
      <c r="Z86" s="28"/>
      <c r="AA86" s="28"/>
    </row>
    <row r="87" spans="6:27" x14ac:dyDescent="0.25">
      <c r="H87" s="15"/>
      <c r="I87" s="4"/>
      <c r="J87" s="1"/>
      <c r="Q87" s="4"/>
      <c r="R87" s="4"/>
      <c r="S87" s="4"/>
      <c r="T87" s="4"/>
      <c r="Y87" s="28"/>
      <c r="Z87" s="28"/>
      <c r="AA87" s="28"/>
    </row>
    <row r="88" spans="6:27" x14ac:dyDescent="0.25">
      <c r="I88" s="4"/>
      <c r="J88" s="1"/>
      <c r="N88" s="21"/>
      <c r="O88" s="21"/>
      <c r="P88" s="21"/>
      <c r="Q88" s="4"/>
      <c r="R88" s="4"/>
      <c r="S88" s="4"/>
      <c r="T88" s="4"/>
      <c r="U88" s="3"/>
      <c r="V88" s="3"/>
      <c r="W88" s="3"/>
      <c r="Y88" s="28"/>
      <c r="Z88" s="28"/>
      <c r="AA88" s="28"/>
    </row>
    <row r="89" spans="6:27" x14ac:dyDescent="0.25">
      <c r="I89" s="4"/>
      <c r="J89" s="1"/>
      <c r="N89" s="21"/>
      <c r="O89" s="1"/>
      <c r="P89" s="21"/>
      <c r="U89" s="3"/>
      <c r="V89" s="3"/>
      <c r="W89" s="3"/>
    </row>
    <row r="90" spans="6:27" x14ac:dyDescent="0.25">
      <c r="I90" s="4"/>
      <c r="J90" s="1"/>
      <c r="N90" s="21"/>
      <c r="O90" s="21"/>
      <c r="P90" s="21"/>
      <c r="Q90" s="4"/>
      <c r="R90" s="4"/>
      <c r="S90" s="4"/>
      <c r="T90" s="4"/>
      <c r="U90" s="3"/>
      <c r="V90" s="3"/>
      <c r="W90" s="3"/>
    </row>
    <row r="91" spans="6:27" x14ac:dyDescent="0.25">
      <c r="I91" s="4"/>
      <c r="J91" s="1"/>
      <c r="N91" s="21"/>
      <c r="O91" s="21"/>
      <c r="P91" s="21"/>
      <c r="U91" s="3"/>
      <c r="V91" s="3"/>
      <c r="W91" s="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48DB0-A9AE-4D32-BBF5-1B206255E460}">
  <dimension ref="B1:AE91"/>
  <sheetViews>
    <sheetView zoomScale="75" zoomScaleNormal="75" workbookViewId="0">
      <selection activeCell="G4" sqref="G4:AC15"/>
    </sheetView>
  </sheetViews>
  <sheetFormatPr defaultRowHeight="15" x14ac:dyDescent="0.25"/>
  <cols>
    <col min="3" max="3" width="12.140625" customWidth="1"/>
    <col min="4" max="4" width="17.5703125" bestFit="1" customWidth="1"/>
    <col min="5" max="5" width="16.140625" customWidth="1"/>
    <col min="6" max="6" width="15.140625" customWidth="1"/>
    <col min="7" max="7" width="15" customWidth="1"/>
    <col min="8" max="8" width="21.85546875" customWidth="1"/>
    <col min="9" max="9" width="14.42578125" bestFit="1" customWidth="1"/>
    <col min="10" max="10" width="12" customWidth="1"/>
    <col min="11" max="12" width="10.7109375" customWidth="1"/>
    <col min="13" max="13" width="13.140625" customWidth="1"/>
    <col min="14" max="17" width="10.7109375" customWidth="1"/>
    <col min="20" max="20" width="11" customWidth="1"/>
    <col min="22" max="22" width="10.28515625" customWidth="1"/>
    <col min="23" max="23" width="11.7109375" customWidth="1"/>
    <col min="24" max="24" width="10.28515625" customWidth="1"/>
    <col min="31" max="31" width="16.85546875" bestFit="1" customWidth="1"/>
  </cols>
  <sheetData>
    <row r="1" spans="2:27" x14ac:dyDescent="0.25">
      <c r="B1" s="1" t="s">
        <v>45</v>
      </c>
    </row>
    <row r="2" spans="2:27" x14ac:dyDescent="0.25">
      <c r="Q2" t="s">
        <v>107</v>
      </c>
      <c r="U2" t="s">
        <v>108</v>
      </c>
    </row>
    <row r="3" spans="2:27" x14ac:dyDescent="0.25">
      <c r="B3" s="1" t="s">
        <v>57</v>
      </c>
      <c r="M3" t="s">
        <v>247</v>
      </c>
    </row>
    <row r="5" spans="2:27" x14ac:dyDescent="0.25">
      <c r="B5" s="1" t="s">
        <v>61</v>
      </c>
      <c r="F5">
        <v>1</v>
      </c>
    </row>
    <row r="6" spans="2:27" x14ac:dyDescent="0.25">
      <c r="C6" t="s">
        <v>59</v>
      </c>
    </row>
    <row r="7" spans="2:27" x14ac:dyDescent="0.25">
      <c r="C7" t="s">
        <v>60</v>
      </c>
      <c r="F7">
        <v>2</v>
      </c>
    </row>
    <row r="8" spans="2:27" x14ac:dyDescent="0.25">
      <c r="C8" t="s">
        <v>58</v>
      </c>
    </row>
    <row r="9" spans="2:27" x14ac:dyDescent="0.25">
      <c r="F9">
        <v>3</v>
      </c>
    </row>
    <row r="11" spans="2:27" x14ac:dyDescent="0.25">
      <c r="B11" t="s">
        <v>92</v>
      </c>
      <c r="F11">
        <v>4</v>
      </c>
    </row>
    <row r="12" spans="2:27" x14ac:dyDescent="0.25">
      <c r="B12" s="1">
        <v>1</v>
      </c>
      <c r="C12" t="s">
        <v>106</v>
      </c>
    </row>
    <row r="13" spans="2:27" x14ac:dyDescent="0.25">
      <c r="B13" s="1">
        <v>2</v>
      </c>
      <c r="C13" t="s">
        <v>105</v>
      </c>
      <c r="F13">
        <v>5</v>
      </c>
    </row>
    <row r="14" spans="2:27" x14ac:dyDescent="0.25">
      <c r="B14" s="1">
        <v>3</v>
      </c>
      <c r="C14" t="s">
        <v>104</v>
      </c>
    </row>
    <row r="15" spans="2:27" x14ac:dyDescent="0.25">
      <c r="B15" s="1">
        <v>4</v>
      </c>
      <c r="C15" t="s">
        <v>175</v>
      </c>
      <c r="F15">
        <v>6</v>
      </c>
    </row>
    <row r="16" spans="2:27" x14ac:dyDescent="0.25">
      <c r="B16" s="1">
        <v>5</v>
      </c>
      <c r="C16" t="s">
        <v>102</v>
      </c>
      <c r="J16" s="4"/>
      <c r="K16" s="4"/>
      <c r="L16" s="4"/>
      <c r="M16" s="102">
        <v>400000000</v>
      </c>
      <c r="O16" s="3"/>
      <c r="P16" s="3"/>
      <c r="Q16" s="3"/>
      <c r="R16" s="3"/>
      <c r="S16" s="3"/>
      <c r="Y16" s="4"/>
      <c r="Z16" s="4"/>
      <c r="AA16" s="4"/>
    </row>
    <row r="17" spans="2:29" x14ac:dyDescent="0.25">
      <c r="B17" s="1">
        <v>6</v>
      </c>
      <c r="C17" t="s">
        <v>101</v>
      </c>
      <c r="H17" s="44"/>
      <c r="J17" s="4"/>
      <c r="K17" s="4"/>
      <c r="L17" s="4"/>
      <c r="M17" s="49"/>
      <c r="N17" s="3"/>
      <c r="T17" s="3"/>
      <c r="U17" s="3"/>
    </row>
    <row r="18" spans="2:29" x14ac:dyDescent="0.25">
      <c r="C18" t="s">
        <v>100</v>
      </c>
      <c r="K18" s="2"/>
      <c r="L18" s="2"/>
      <c r="M18" s="49"/>
      <c r="N18" s="47"/>
      <c r="O18" s="4"/>
      <c r="P18" s="4"/>
      <c r="Q18" s="3"/>
      <c r="T18" s="3"/>
      <c r="U18" s="3"/>
      <c r="AC18" s="28"/>
    </row>
    <row r="19" spans="2:29" x14ac:dyDescent="0.25">
      <c r="D19" s="2" t="s">
        <v>202</v>
      </c>
      <c r="E19" s="2" t="s">
        <v>92</v>
      </c>
      <c r="K19" s="3"/>
      <c r="L19" s="15"/>
      <c r="M19" s="49"/>
      <c r="N19" s="4"/>
      <c r="O19" s="3"/>
      <c r="P19" s="3"/>
      <c r="Q19" s="3"/>
      <c r="AC19" s="28"/>
    </row>
    <row r="20" spans="2:29" x14ac:dyDescent="0.25">
      <c r="B20">
        <v>250000000</v>
      </c>
      <c r="C20" s="60">
        <v>1000000000</v>
      </c>
      <c r="D20" s="1">
        <v>0</v>
      </c>
      <c r="E20">
        <v>4</v>
      </c>
      <c r="I20" s="2">
        <v>0</v>
      </c>
      <c r="J20" s="2"/>
      <c r="K20" s="3"/>
      <c r="L20" s="3"/>
      <c r="M20" s="49"/>
      <c r="N20" s="26"/>
      <c r="O20" s="3"/>
      <c r="P20" s="3"/>
      <c r="Q20" s="3"/>
      <c r="T20" s="3"/>
      <c r="U20" s="3"/>
      <c r="AC20" s="28"/>
    </row>
    <row r="21" spans="2:29" x14ac:dyDescent="0.25">
      <c r="B21">
        <v>150000000</v>
      </c>
      <c r="C21" s="60">
        <v>1000000000</v>
      </c>
      <c r="D21" s="1">
        <v>1</v>
      </c>
      <c r="E21">
        <v>5</v>
      </c>
      <c r="I21" s="2">
        <v>0</v>
      </c>
      <c r="J21" s="116"/>
      <c r="O21" s="29" t="s">
        <v>250</v>
      </c>
      <c r="AC21" s="28"/>
    </row>
    <row r="22" spans="2:29" x14ac:dyDescent="0.25">
      <c r="B22">
        <v>200000000</v>
      </c>
      <c r="C22" s="60">
        <v>1000000000</v>
      </c>
      <c r="D22" s="1">
        <v>0</v>
      </c>
      <c r="E22">
        <v>6</v>
      </c>
      <c r="I22" s="2">
        <v>0</v>
      </c>
      <c r="J22" s="2"/>
      <c r="K22">
        <v>3</v>
      </c>
      <c r="L22" s="3">
        <f>1000*test8OracleRevenue!T50</f>
        <v>4.7619047619047628</v>
      </c>
      <c r="M22" s="3">
        <v>4.76</v>
      </c>
      <c r="N22" s="4"/>
      <c r="O22" s="27">
        <v>4.76</v>
      </c>
      <c r="P22" s="27" t="s">
        <v>211</v>
      </c>
      <c r="R22" s="4"/>
      <c r="Z22" s="28"/>
      <c r="AA22" s="28"/>
      <c r="AB22" s="28"/>
      <c r="AC22" s="28"/>
    </row>
    <row r="23" spans="2:29" x14ac:dyDescent="0.25">
      <c r="B23" s="1">
        <v>100000000</v>
      </c>
      <c r="C23" s="60">
        <v>1000000000</v>
      </c>
      <c r="D23" s="1">
        <v>2</v>
      </c>
      <c r="E23">
        <v>6</v>
      </c>
      <c r="I23" s="2">
        <v>0</v>
      </c>
      <c r="J23" s="2"/>
      <c r="K23">
        <v>4</v>
      </c>
      <c r="L23" s="3">
        <f>1000*test8OracleRevenue!T52</f>
        <v>7.4074074074074074</v>
      </c>
      <c r="M23" s="3">
        <v>7.4</v>
      </c>
      <c r="N23" s="4"/>
      <c r="O23" s="27">
        <v>7.4</v>
      </c>
      <c r="P23" s="27"/>
      <c r="R23" s="4"/>
      <c r="Z23" s="28"/>
      <c r="AA23" s="28"/>
      <c r="AB23" s="28"/>
    </row>
    <row r="24" spans="2:29" x14ac:dyDescent="0.25">
      <c r="D24" s="1" t="s">
        <v>248</v>
      </c>
      <c r="E24" s="184" t="s">
        <v>249</v>
      </c>
      <c r="I24" s="47"/>
      <c r="J24" s="2"/>
      <c r="K24" s="4">
        <v>4</v>
      </c>
      <c r="L24" s="3">
        <f>1000*(test8OracleRevenue!Q48+test8OracleRevenue!Q50+test8OracleRevenue!Q52)</f>
        <v>205.82010582010585</v>
      </c>
      <c r="M24" s="3">
        <v>205.75</v>
      </c>
      <c r="N24" s="4">
        <v>212.5</v>
      </c>
      <c r="O24" s="27">
        <v>205.75</v>
      </c>
      <c r="P24" s="27"/>
      <c r="R24" s="4"/>
      <c r="Z24" s="28"/>
      <c r="AA24" s="28"/>
      <c r="AB24" s="28"/>
    </row>
    <row r="25" spans="2:29" x14ac:dyDescent="0.25">
      <c r="B25" s="1"/>
      <c r="F25" s="26"/>
      <c r="G25" s="3" t="s">
        <v>239</v>
      </c>
      <c r="H25" s="4"/>
      <c r="I25" s="4"/>
      <c r="J25" s="3"/>
      <c r="K25" s="4">
        <v>5</v>
      </c>
      <c r="L25" s="3">
        <f>1000*test8OracleRevenue!T54</f>
        <v>11.76470588235294</v>
      </c>
      <c r="M25">
        <v>11.76</v>
      </c>
      <c r="O25" s="27">
        <v>11.76</v>
      </c>
      <c r="P25" s="27"/>
      <c r="R25" s="4"/>
      <c r="Z25" s="28"/>
      <c r="AA25" s="28"/>
      <c r="AB25" s="28"/>
    </row>
    <row r="26" spans="2:29" x14ac:dyDescent="0.25">
      <c r="G26" s="151">
        <v>212.5</v>
      </c>
      <c r="H26" s="93">
        <v>212.5</v>
      </c>
      <c r="I26" s="103"/>
      <c r="J26" s="3"/>
      <c r="K26" s="3">
        <v>5</v>
      </c>
      <c r="L26" s="3">
        <f>1000*test8OracleRevenue!T56</f>
        <v>21.052631578947366</v>
      </c>
      <c r="M26" s="3">
        <v>21.04</v>
      </c>
      <c r="N26" s="3"/>
      <c r="O26" s="3">
        <v>92.85</v>
      </c>
      <c r="P26" s="3"/>
      <c r="R26" s="4"/>
      <c r="Z26" s="28"/>
      <c r="AA26" s="28"/>
      <c r="AB26" s="28"/>
    </row>
    <row r="27" spans="2:29" x14ac:dyDescent="0.25">
      <c r="B27" s="1"/>
      <c r="G27" s="93">
        <v>50.4</v>
      </c>
      <c r="H27" s="93">
        <v>100.8</v>
      </c>
      <c r="I27" s="152">
        <f>H27-G27</f>
        <v>50.4</v>
      </c>
      <c r="J27" s="3"/>
      <c r="K27" s="4">
        <v>5</v>
      </c>
      <c r="L27" s="3">
        <f>1000*(test8OracleRevenue!R54+test8OracleRevenue!R52+test8OracleRevenue!R50+test8OracleRevenue!R48)</f>
        <v>92.903828197945842</v>
      </c>
      <c r="M27" s="3">
        <v>92.85</v>
      </c>
      <c r="N27" s="3">
        <v>100.8</v>
      </c>
      <c r="O27" s="3">
        <v>21.04</v>
      </c>
      <c r="P27" s="3"/>
    </row>
    <row r="28" spans="2:29" x14ac:dyDescent="0.25">
      <c r="D28" s="11">
        <v>8</v>
      </c>
      <c r="E28" s="102">
        <f>2^D28</f>
        <v>256</v>
      </c>
      <c r="G28" s="93">
        <v>144.6</v>
      </c>
      <c r="H28" s="103">
        <v>111</v>
      </c>
      <c r="I28" s="152">
        <f t="shared" ref="I28:I29" si="0">H28-G28</f>
        <v>-33.599999999999994</v>
      </c>
      <c r="J28" s="1"/>
      <c r="K28" s="4">
        <v>6</v>
      </c>
      <c r="L28" s="3">
        <f>1000*test8OracleRevenue!T56</f>
        <v>21.052631578947366</v>
      </c>
      <c r="M28" s="3">
        <v>21.04</v>
      </c>
      <c r="N28" s="3"/>
      <c r="O28" s="3">
        <v>91.8</v>
      </c>
      <c r="P28" s="3"/>
      <c r="R28" s="4"/>
    </row>
    <row r="29" spans="2:29" x14ac:dyDescent="0.25">
      <c r="C29" s="77"/>
      <c r="D29">
        <v>16</v>
      </c>
      <c r="E29" s="102">
        <f t="shared" ref="E29:E31" si="1">2^D29</f>
        <v>65536</v>
      </c>
      <c r="F29" s="49"/>
      <c r="G29" s="151">
        <v>92.3</v>
      </c>
      <c r="H29" s="103">
        <v>75.5</v>
      </c>
      <c r="I29" s="152">
        <f t="shared" si="0"/>
        <v>-16.799999999999997</v>
      </c>
      <c r="J29" s="1"/>
      <c r="K29" s="4">
        <v>6</v>
      </c>
      <c r="L29" s="3">
        <f>1000*(test8OracleRevenue!Q56+test8OracleRevenue!Q54)</f>
        <v>91.847265221878217</v>
      </c>
      <c r="M29" s="3">
        <v>68.849999999999994</v>
      </c>
      <c r="N29" s="3">
        <v>111</v>
      </c>
      <c r="O29" s="3">
        <v>64.400000000000006</v>
      </c>
      <c r="P29" s="3"/>
    </row>
    <row r="30" spans="2:29" x14ac:dyDescent="0.25">
      <c r="C30" s="4"/>
      <c r="D30">
        <v>32</v>
      </c>
      <c r="E30" s="102">
        <f t="shared" si="1"/>
        <v>4294967296</v>
      </c>
      <c r="F30" s="77"/>
      <c r="G30" s="113">
        <f>SUM(G26:G29)</f>
        <v>499.8</v>
      </c>
      <c r="H30" s="113"/>
      <c r="I30" s="95">
        <f>SUM(I28:I29)</f>
        <v>-50.399999999999991</v>
      </c>
      <c r="K30" s="4">
        <v>6</v>
      </c>
      <c r="L30" s="3">
        <f>1000*(test8OracleRevenue!S56+test8OracleRevenue!S54+test8OracleRevenue!S52)</f>
        <v>64.442151129457628</v>
      </c>
      <c r="M30" s="3">
        <v>75.8</v>
      </c>
      <c r="N30" s="3">
        <v>75.5</v>
      </c>
      <c r="O30" s="3">
        <v>0.24</v>
      </c>
      <c r="P30" s="3"/>
    </row>
    <row r="31" spans="2:29" x14ac:dyDescent="0.25">
      <c r="D31">
        <v>64</v>
      </c>
      <c r="E31" s="102">
        <f t="shared" si="1"/>
        <v>1.8446744073709552E+19</v>
      </c>
      <c r="G31" s="113"/>
      <c r="H31" s="49">
        <f>H28/H29</f>
        <v>1.4701986754966887</v>
      </c>
      <c r="I31" s="49">
        <f>I28/I29</f>
        <v>2</v>
      </c>
      <c r="L31" s="3">
        <f>SUM(L22:L30)</f>
        <v>521.0526315789474</v>
      </c>
      <c r="M31" s="3">
        <v>11.79</v>
      </c>
      <c r="N31" s="3">
        <v>0.2</v>
      </c>
    </row>
    <row r="32" spans="2:29" x14ac:dyDescent="0.25">
      <c r="E32" s="148"/>
      <c r="F32" s="113"/>
      <c r="G32" s="1"/>
      <c r="H32" s="102"/>
      <c r="L32" s="3"/>
      <c r="M32" s="3">
        <f>SUM(M22:M31)</f>
        <v>521.04</v>
      </c>
      <c r="N32" s="3">
        <f>SUM(N22:N31)</f>
        <v>500</v>
      </c>
      <c r="O32" s="3">
        <f>SUM(O22:O31)</f>
        <v>500</v>
      </c>
      <c r="P32" s="3"/>
    </row>
    <row r="33" spans="2:28" x14ac:dyDescent="0.25">
      <c r="E33" s="139"/>
      <c r="F33" t="s">
        <v>240</v>
      </c>
      <c r="G33" t="s">
        <v>242</v>
      </c>
      <c r="H33" t="s">
        <v>241</v>
      </c>
      <c r="L33" s="3"/>
      <c r="M33" s="3"/>
    </row>
    <row r="34" spans="2:28" x14ac:dyDescent="0.25">
      <c r="B34" s="1"/>
      <c r="F34" s="2">
        <v>212.5</v>
      </c>
      <c r="G34" s="3">
        <f>test8OracleRevenue!AB49*1000</f>
        <v>205.82010582010585</v>
      </c>
      <c r="H34" s="151">
        <v>212.5</v>
      </c>
      <c r="J34" s="2"/>
      <c r="K34" s="2"/>
      <c r="L34" s="116"/>
      <c r="M34" s="116"/>
      <c r="N34" s="2"/>
      <c r="O34" s="2"/>
      <c r="P34" s="2"/>
      <c r="Q34" s="2"/>
      <c r="R34" s="2"/>
      <c r="Z34" s="2"/>
      <c r="AA34" s="2"/>
      <c r="AB34" s="2"/>
    </row>
    <row r="35" spans="2:28" x14ac:dyDescent="0.25">
      <c r="E35" s="114"/>
      <c r="F35">
        <v>100.8</v>
      </c>
      <c r="G35" s="3">
        <f>test8OracleRevenue!AB50*1000</f>
        <v>92.903828197945856</v>
      </c>
      <c r="H35" s="93">
        <v>50.4</v>
      </c>
    </row>
    <row r="36" spans="2:28" x14ac:dyDescent="0.25">
      <c r="B36" s="1"/>
      <c r="E36" s="140"/>
      <c r="F36">
        <v>111</v>
      </c>
      <c r="G36" s="3">
        <f>test8OracleRevenue!AB51*1000</f>
        <v>91.847265221878217</v>
      </c>
      <c r="H36" s="93">
        <v>144.6</v>
      </c>
      <c r="J36" s="1"/>
      <c r="K36" s="3"/>
      <c r="L36" s="3"/>
      <c r="M36" s="49"/>
      <c r="N36" s="26"/>
      <c r="O36" s="3"/>
      <c r="P36" s="3"/>
      <c r="Q36" s="3"/>
      <c r="V36" s="21"/>
      <c r="W36" s="21"/>
      <c r="X36" s="21"/>
      <c r="Z36" s="49"/>
      <c r="AA36" s="49"/>
      <c r="AB36" s="49"/>
    </row>
    <row r="37" spans="2:28" x14ac:dyDescent="0.25">
      <c r="E37" s="113"/>
      <c r="F37">
        <v>75.5</v>
      </c>
      <c r="G37" s="3">
        <f>test8OracleRevenue!AB52*1000</f>
        <v>64.442151129457628</v>
      </c>
      <c r="H37" s="151">
        <v>92.3</v>
      </c>
      <c r="K37" s="3"/>
      <c r="L37" s="3"/>
      <c r="M37" s="49"/>
      <c r="N37" s="26"/>
      <c r="O37" s="3"/>
      <c r="P37" s="3"/>
      <c r="Q37" s="3"/>
      <c r="V37" s="21"/>
      <c r="W37" s="21"/>
      <c r="X37" s="21"/>
      <c r="Z37" s="49"/>
      <c r="AA37" s="49"/>
      <c r="AB37" s="49"/>
    </row>
    <row r="38" spans="2:28" x14ac:dyDescent="0.25">
      <c r="B38" s="1"/>
      <c r="F38" s="3">
        <f>SUM(F34:F37)</f>
        <v>499.8</v>
      </c>
      <c r="G38" s="3">
        <f t="shared" ref="G38:H38" si="2">SUM(G34:G37)</f>
        <v>455.01335036938752</v>
      </c>
      <c r="H38" s="3">
        <f t="shared" si="2"/>
        <v>499.8</v>
      </c>
      <c r="K38" s="3"/>
      <c r="L38" s="3"/>
      <c r="M38" s="49"/>
      <c r="N38" s="26"/>
      <c r="O38" s="3"/>
      <c r="P38" s="3"/>
      <c r="Q38" s="3"/>
      <c r="V38" s="21"/>
      <c r="W38" s="21"/>
      <c r="X38" s="21"/>
      <c r="Z38" s="49"/>
      <c r="AA38" s="49"/>
      <c r="AB38" s="49"/>
    </row>
    <row r="39" spans="2:28" x14ac:dyDescent="0.25">
      <c r="H39" s="8"/>
      <c r="K39" s="3"/>
      <c r="L39" s="3"/>
      <c r="M39" s="49"/>
      <c r="N39" s="26"/>
      <c r="O39" s="3"/>
      <c r="P39" s="3"/>
      <c r="Q39" s="3"/>
      <c r="V39" s="21"/>
      <c r="W39" s="21"/>
      <c r="X39" s="21"/>
      <c r="Z39" s="49"/>
      <c r="AA39" s="49"/>
      <c r="AB39" s="49"/>
    </row>
    <row r="40" spans="2:28" x14ac:dyDescent="0.25">
      <c r="K40" s="3"/>
      <c r="L40" s="3"/>
      <c r="M40" s="49"/>
      <c r="N40" s="26"/>
      <c r="O40" s="3"/>
      <c r="P40" s="3"/>
      <c r="Q40" s="3"/>
      <c r="V40" s="21"/>
      <c r="W40" s="21"/>
      <c r="X40" s="21"/>
      <c r="Z40" s="49"/>
      <c r="AA40" s="49"/>
      <c r="AB40" s="49"/>
    </row>
    <row r="41" spans="2:28" x14ac:dyDescent="0.25">
      <c r="B41" s="1"/>
      <c r="G41" s="17">
        <f>SUM(test8OracleRevenue!AB49:AB53)</f>
        <v>0.5</v>
      </c>
      <c r="H41" s="113"/>
      <c r="L41" s="61"/>
      <c r="M41" s="75"/>
      <c r="N41" s="8"/>
      <c r="O41" s="8"/>
      <c r="P41" s="8"/>
      <c r="Q41" s="3"/>
      <c r="V41" s="21"/>
      <c r="W41" s="21"/>
      <c r="X41" s="21"/>
      <c r="Z41" s="49"/>
      <c r="AA41" s="49"/>
      <c r="AB41" s="49"/>
    </row>
    <row r="42" spans="2:28" x14ac:dyDescent="0.25">
      <c r="G42">
        <f>SUM(test8OracleRevenue!AA6:AA9)</f>
        <v>500</v>
      </c>
      <c r="L42" s="61"/>
      <c r="M42" s="8"/>
      <c r="N42" s="8"/>
      <c r="O42" s="8"/>
      <c r="P42" s="8"/>
      <c r="Q42" s="3"/>
      <c r="V42" s="21"/>
      <c r="W42" s="21"/>
      <c r="X42" s="21"/>
      <c r="Z42" s="49"/>
      <c r="AA42" s="49"/>
      <c r="AB42" s="49"/>
    </row>
    <row r="43" spans="2:28" x14ac:dyDescent="0.25">
      <c r="G43" s="19">
        <f>G42-G41</f>
        <v>499.5</v>
      </c>
      <c r="K43" s="3"/>
      <c r="L43" s="61"/>
      <c r="M43" s="61"/>
      <c r="N43" s="8"/>
      <c r="O43" s="8"/>
      <c r="P43" s="8"/>
      <c r="Q43" s="3"/>
      <c r="V43" s="21"/>
      <c r="W43" s="21"/>
      <c r="X43" s="21"/>
      <c r="Z43" s="49"/>
      <c r="AA43" s="49"/>
      <c r="AB43" s="49"/>
    </row>
    <row r="44" spans="2:28" x14ac:dyDescent="0.25">
      <c r="B44" s="1"/>
      <c r="F44" s="2"/>
      <c r="G44" s="2">
        <f>G43*1000</f>
        <v>499500</v>
      </c>
      <c r="H44" s="2"/>
      <c r="L44" s="61"/>
      <c r="M44" s="8"/>
      <c r="N44" s="8"/>
      <c r="O44" s="8"/>
      <c r="P44" s="8"/>
      <c r="Q44" s="3"/>
      <c r="V44" s="21"/>
      <c r="W44" s="21"/>
      <c r="X44" s="21"/>
      <c r="Z44" s="49"/>
      <c r="AA44" s="49"/>
      <c r="AB44" s="49"/>
    </row>
    <row r="45" spans="2:28" x14ac:dyDescent="0.25">
      <c r="F45" s="4"/>
      <c r="G45" s="3"/>
      <c r="H45" s="3"/>
      <c r="L45" s="8"/>
      <c r="M45" s="8"/>
      <c r="N45" s="8"/>
      <c r="O45" s="8"/>
      <c r="P45" s="8"/>
      <c r="Q45" s="3"/>
    </row>
    <row r="46" spans="2:28" x14ac:dyDescent="0.25">
      <c r="F46" s="4"/>
      <c r="G46" s="3"/>
      <c r="H46" s="3"/>
      <c r="L46" s="4"/>
      <c r="M46" s="4"/>
      <c r="N46" s="4"/>
      <c r="Q46" s="3"/>
      <c r="Z46" s="4"/>
      <c r="AA46" s="4"/>
      <c r="AB46" s="4"/>
    </row>
    <row r="47" spans="2:28" x14ac:dyDescent="0.25">
      <c r="B47" s="1"/>
      <c r="F47" s="4"/>
      <c r="G47" s="3"/>
      <c r="H47" s="3"/>
      <c r="J47" s="44"/>
      <c r="L47" s="4"/>
      <c r="M47" s="4"/>
      <c r="N47" s="4"/>
      <c r="Q47" s="3"/>
    </row>
    <row r="48" spans="2:28" x14ac:dyDescent="0.25">
      <c r="F48" s="4"/>
      <c r="G48" s="3"/>
      <c r="H48" s="49"/>
      <c r="L48" s="4"/>
      <c r="M48" s="4"/>
      <c r="N48" s="4"/>
      <c r="Q48" s="3"/>
    </row>
    <row r="49" spans="2:31" x14ac:dyDescent="0.25">
      <c r="F49" s="4"/>
      <c r="G49" s="3"/>
      <c r="H49" s="3"/>
      <c r="Q49" s="3"/>
    </row>
    <row r="50" spans="2:31" x14ac:dyDescent="0.25">
      <c r="F50" s="4"/>
      <c r="G50" s="3"/>
      <c r="H50" s="3"/>
      <c r="I50" s="4"/>
      <c r="J50" s="1"/>
      <c r="O50" s="29"/>
      <c r="P50" s="29"/>
      <c r="Q50" s="3"/>
    </row>
    <row r="51" spans="2:31" x14ac:dyDescent="0.25">
      <c r="F51" s="4"/>
      <c r="G51" s="3"/>
      <c r="H51" s="3"/>
      <c r="I51" s="4"/>
      <c r="J51" s="1"/>
      <c r="O51" s="29"/>
      <c r="P51" s="29"/>
      <c r="Q51" s="3"/>
      <c r="W51" s="29"/>
    </row>
    <row r="52" spans="2:31" x14ac:dyDescent="0.25">
      <c r="F52" s="4"/>
      <c r="G52" s="3"/>
      <c r="H52" s="3"/>
      <c r="I52" s="4"/>
      <c r="J52" s="1"/>
      <c r="N52" s="4"/>
      <c r="O52" s="29"/>
      <c r="P52" s="29"/>
      <c r="Q52" s="29"/>
      <c r="R52" s="4"/>
      <c r="S52" s="4"/>
      <c r="T52" s="4"/>
      <c r="U52" s="4"/>
      <c r="V52" s="4"/>
      <c r="W52" s="27"/>
      <c r="X52" s="4"/>
      <c r="Z52" s="28"/>
      <c r="AA52" s="28"/>
      <c r="AB52" s="28"/>
    </row>
    <row r="53" spans="2:31" x14ac:dyDescent="0.25">
      <c r="F53" s="4"/>
      <c r="G53" s="3"/>
      <c r="H53" s="3"/>
      <c r="I53" s="4"/>
      <c r="J53" s="1"/>
      <c r="K53" s="29"/>
      <c r="L53" s="29"/>
      <c r="N53" s="4"/>
      <c r="O53" s="4"/>
      <c r="P53" s="4"/>
      <c r="Q53" s="3"/>
      <c r="R53" s="4"/>
      <c r="S53" s="4"/>
      <c r="T53" s="4"/>
      <c r="U53" s="4"/>
      <c r="V53" s="4"/>
      <c r="W53" s="27"/>
      <c r="X53" s="4"/>
      <c r="Z53" s="28"/>
      <c r="AA53" s="28"/>
      <c r="AB53" s="28"/>
    </row>
    <row r="54" spans="2:31" x14ac:dyDescent="0.25">
      <c r="F54" s="4"/>
      <c r="G54" s="3"/>
      <c r="H54" s="3"/>
      <c r="I54" s="4"/>
      <c r="J54" s="1"/>
      <c r="K54" s="29"/>
      <c r="L54" s="29"/>
      <c r="N54" s="4"/>
      <c r="O54" s="1"/>
      <c r="P54" s="1"/>
      <c r="Q54" s="4"/>
      <c r="R54" s="4"/>
      <c r="S54" s="4"/>
      <c r="T54" s="4"/>
      <c r="U54" s="4"/>
      <c r="V54" s="4"/>
      <c r="W54" s="27"/>
      <c r="X54" s="4"/>
      <c r="Z54" s="28"/>
      <c r="AA54" s="28"/>
      <c r="AB54" s="28"/>
    </row>
    <row r="55" spans="2:31" x14ac:dyDescent="0.25">
      <c r="B55" s="1"/>
      <c r="H55" s="15"/>
      <c r="I55" s="4"/>
      <c r="J55" s="1"/>
      <c r="R55" s="4"/>
      <c r="S55" s="4"/>
      <c r="T55" s="4"/>
      <c r="U55" s="4"/>
      <c r="Z55" s="28"/>
      <c r="AA55" s="28"/>
      <c r="AB55" s="28"/>
    </row>
    <row r="56" spans="2:31" x14ac:dyDescent="0.25">
      <c r="I56" s="4"/>
      <c r="J56" s="1"/>
      <c r="N56" s="21"/>
      <c r="O56" s="21"/>
      <c r="P56" s="21"/>
      <c r="Q56" s="21"/>
      <c r="R56" s="4"/>
      <c r="S56" s="4"/>
      <c r="T56" s="4"/>
      <c r="U56" s="4"/>
      <c r="V56" s="3"/>
      <c r="W56" s="3"/>
      <c r="X56" s="3"/>
      <c r="Z56" s="28"/>
      <c r="AA56" s="28"/>
      <c r="AB56" s="28"/>
    </row>
    <row r="57" spans="2:31" x14ac:dyDescent="0.25">
      <c r="B57" s="1"/>
      <c r="I57" s="4"/>
      <c r="J57" s="1"/>
      <c r="N57" s="21"/>
      <c r="O57" s="1"/>
      <c r="P57" s="1"/>
      <c r="Q57" s="21"/>
      <c r="V57" s="3"/>
      <c r="W57" s="3"/>
      <c r="X57" s="3"/>
    </row>
    <row r="58" spans="2:31" x14ac:dyDescent="0.25">
      <c r="I58" s="4"/>
      <c r="J58" s="1"/>
      <c r="N58" s="21"/>
      <c r="O58" s="21"/>
      <c r="P58" s="21"/>
      <c r="Q58" s="21"/>
      <c r="R58" s="4"/>
      <c r="S58" s="4"/>
      <c r="T58" s="4"/>
      <c r="U58" s="4"/>
      <c r="V58" s="3"/>
      <c r="W58" s="3"/>
      <c r="X58" s="3"/>
    </row>
    <row r="59" spans="2:31" x14ac:dyDescent="0.25">
      <c r="B59" s="1"/>
      <c r="I59" s="4"/>
      <c r="J59" s="1"/>
      <c r="N59" s="21"/>
      <c r="O59" s="21"/>
      <c r="P59" s="21"/>
      <c r="Q59" s="21"/>
      <c r="V59" s="3"/>
      <c r="W59" s="3"/>
      <c r="X59" s="3"/>
    </row>
    <row r="60" spans="2:31" x14ac:dyDescent="0.25">
      <c r="AE60" s="29"/>
    </row>
    <row r="61" spans="2:31" x14ac:dyDescent="0.25">
      <c r="AE61" s="29"/>
    </row>
    <row r="66" spans="2:28" x14ac:dyDescent="0.25">
      <c r="B66" s="1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</row>
    <row r="67" spans="2:28" x14ac:dyDescent="0.25">
      <c r="L67" s="61"/>
      <c r="M67" s="8"/>
      <c r="N67" s="8"/>
      <c r="O67" s="8"/>
      <c r="P67" s="8"/>
      <c r="Q67" s="3"/>
    </row>
    <row r="68" spans="2:28" x14ac:dyDescent="0.25">
      <c r="B68" s="1"/>
      <c r="J68" s="1"/>
      <c r="L68" s="8"/>
      <c r="M68" s="8"/>
      <c r="N68" s="8"/>
      <c r="O68" s="8"/>
      <c r="P68" s="8"/>
      <c r="Q68" s="3"/>
      <c r="V68" s="21"/>
      <c r="W68" s="21"/>
      <c r="X68" s="21"/>
      <c r="Z68" s="49"/>
      <c r="AA68" s="49"/>
      <c r="AB68" s="49"/>
    </row>
    <row r="69" spans="2:28" x14ac:dyDescent="0.25">
      <c r="L69" s="8"/>
      <c r="M69" s="61"/>
      <c r="N69" s="8"/>
      <c r="O69" s="8"/>
      <c r="P69" s="8"/>
      <c r="Q69" s="3"/>
      <c r="V69" s="21"/>
      <c r="W69" s="21"/>
      <c r="X69" s="21"/>
      <c r="Z69" s="49"/>
      <c r="AA69" s="49"/>
      <c r="AB69" s="49"/>
    </row>
    <row r="70" spans="2:28" x14ac:dyDescent="0.25">
      <c r="B70" s="1"/>
      <c r="L70" s="8"/>
      <c r="M70" s="8"/>
      <c r="N70" s="8"/>
      <c r="O70" s="8"/>
      <c r="P70" s="8"/>
      <c r="Q70" s="3"/>
      <c r="V70" s="21"/>
      <c r="W70" s="21"/>
      <c r="X70" s="21"/>
      <c r="Z70" s="49"/>
      <c r="AA70" s="49"/>
      <c r="AB70" s="49"/>
    </row>
    <row r="71" spans="2:28" x14ac:dyDescent="0.25">
      <c r="L71" s="8"/>
      <c r="M71" s="8"/>
      <c r="N71" s="61"/>
      <c r="O71" s="8"/>
      <c r="P71" s="8"/>
      <c r="Q71" s="3"/>
      <c r="V71" s="21"/>
      <c r="W71" s="21"/>
      <c r="X71" s="21"/>
      <c r="Z71" s="49"/>
      <c r="AA71" s="49"/>
      <c r="AB71" s="49"/>
    </row>
    <row r="72" spans="2:28" x14ac:dyDescent="0.25">
      <c r="L72" s="8"/>
      <c r="M72" s="8"/>
      <c r="N72" s="61"/>
      <c r="O72" s="8"/>
      <c r="P72" s="8"/>
      <c r="Q72" s="3"/>
      <c r="V72" s="21"/>
      <c r="W72" s="21"/>
      <c r="X72" s="21"/>
      <c r="Z72" s="49"/>
      <c r="AA72" s="49"/>
      <c r="AB72" s="49"/>
    </row>
    <row r="73" spans="2:28" x14ac:dyDescent="0.25">
      <c r="B73" s="1"/>
      <c r="L73" s="61"/>
      <c r="M73" s="8"/>
      <c r="N73" s="61"/>
      <c r="O73" s="8"/>
      <c r="P73" s="8"/>
      <c r="Q73" s="3"/>
      <c r="V73" s="21"/>
      <c r="W73" s="21"/>
      <c r="X73" s="21"/>
      <c r="Z73" s="49"/>
      <c r="AA73" s="49"/>
      <c r="AB73" s="49"/>
    </row>
    <row r="74" spans="2:28" x14ac:dyDescent="0.25">
      <c r="L74" s="61"/>
      <c r="M74" s="8"/>
      <c r="N74" s="61"/>
      <c r="O74" s="8"/>
      <c r="P74" s="8"/>
      <c r="Q74" s="3"/>
      <c r="V74" s="21"/>
      <c r="W74" s="21"/>
      <c r="X74" s="21"/>
      <c r="Z74" s="49"/>
      <c r="AA74" s="49"/>
      <c r="AB74" s="49"/>
    </row>
    <row r="75" spans="2:28" x14ac:dyDescent="0.25">
      <c r="L75" s="61"/>
      <c r="M75" s="61"/>
      <c r="N75" s="61"/>
      <c r="O75" s="8"/>
      <c r="P75" s="8"/>
      <c r="Q75" s="3"/>
      <c r="V75" s="21"/>
      <c r="W75" s="21"/>
      <c r="X75" s="21"/>
      <c r="Z75" s="49"/>
      <c r="AA75" s="49"/>
      <c r="AB75" s="49"/>
    </row>
    <row r="76" spans="2:28" x14ac:dyDescent="0.25">
      <c r="B76" s="1"/>
      <c r="F76" s="2"/>
      <c r="G76" s="2"/>
      <c r="H76" s="2"/>
      <c r="L76" s="61"/>
      <c r="M76" s="8"/>
      <c r="N76" s="61"/>
      <c r="O76" s="8"/>
      <c r="P76" s="8"/>
      <c r="Q76" s="3"/>
      <c r="V76" s="21"/>
      <c r="W76" s="21"/>
      <c r="X76" s="21"/>
      <c r="Z76" s="49"/>
      <c r="AA76" s="49"/>
      <c r="AB76" s="49"/>
    </row>
    <row r="77" spans="2:28" x14ac:dyDescent="0.25">
      <c r="F77" s="4"/>
      <c r="G77" s="3"/>
      <c r="H77" s="49"/>
      <c r="L77" s="8"/>
      <c r="M77" s="8"/>
      <c r="N77" s="8"/>
      <c r="O77" s="8"/>
      <c r="P77" s="8"/>
      <c r="Q77" s="3"/>
    </row>
    <row r="78" spans="2:28" x14ac:dyDescent="0.25">
      <c r="F78" s="4"/>
      <c r="G78" s="3"/>
      <c r="H78" s="3"/>
      <c r="L78" s="4"/>
      <c r="M78" s="4"/>
      <c r="N78" s="4"/>
      <c r="Q78" s="3"/>
      <c r="Z78" s="4"/>
      <c r="AA78" s="4"/>
      <c r="AB78" s="4"/>
    </row>
    <row r="79" spans="2:28" x14ac:dyDescent="0.25">
      <c r="B79" s="1"/>
      <c r="F79" s="4"/>
      <c r="G79" s="3"/>
      <c r="H79" s="3"/>
      <c r="J79" s="44"/>
      <c r="L79" s="4"/>
      <c r="M79" s="4"/>
      <c r="N79" s="4"/>
      <c r="Q79" s="3"/>
    </row>
    <row r="80" spans="2:28" x14ac:dyDescent="0.25">
      <c r="F80" s="4"/>
      <c r="G80" s="3"/>
      <c r="H80" s="49"/>
      <c r="L80" s="4"/>
      <c r="M80" s="4"/>
      <c r="N80" s="4"/>
      <c r="Q80" s="3"/>
    </row>
    <row r="81" spans="6:28" x14ac:dyDescent="0.25">
      <c r="F81" s="4"/>
      <c r="G81" s="3"/>
      <c r="H81" s="3"/>
      <c r="Q81" s="3"/>
    </row>
    <row r="82" spans="6:28" x14ac:dyDescent="0.25">
      <c r="F82" s="4"/>
      <c r="G82" s="3"/>
      <c r="H82" s="3"/>
      <c r="I82" s="4"/>
      <c r="J82" s="1"/>
      <c r="O82" s="29"/>
      <c r="P82" s="29"/>
      <c r="Q82" s="3"/>
    </row>
    <row r="83" spans="6:28" x14ac:dyDescent="0.25">
      <c r="F83" s="4"/>
      <c r="G83" s="3"/>
      <c r="H83" s="3"/>
      <c r="I83" s="4"/>
      <c r="J83" s="1"/>
      <c r="O83" s="29"/>
      <c r="P83" s="29"/>
      <c r="Q83" s="3"/>
      <c r="W83" s="29"/>
    </row>
    <row r="84" spans="6:28" x14ac:dyDescent="0.25">
      <c r="F84" s="4"/>
      <c r="G84" s="3"/>
      <c r="H84" s="3"/>
      <c r="I84" s="4"/>
      <c r="J84" s="1"/>
      <c r="N84" s="4"/>
      <c r="O84" s="29"/>
      <c r="P84" s="29"/>
      <c r="Q84" s="29"/>
      <c r="R84" s="4"/>
      <c r="S84" s="4"/>
      <c r="T84" s="4"/>
      <c r="U84" s="4"/>
      <c r="V84" s="4"/>
      <c r="W84" s="27"/>
      <c r="X84" s="4"/>
      <c r="Z84" s="28"/>
      <c r="AA84" s="28"/>
      <c r="AB84" s="28"/>
    </row>
    <row r="85" spans="6:28" x14ac:dyDescent="0.25">
      <c r="F85" s="4"/>
      <c r="G85" s="3"/>
      <c r="H85" s="59"/>
      <c r="I85" s="4"/>
      <c r="J85" s="1"/>
      <c r="K85" s="29"/>
      <c r="L85" s="29"/>
      <c r="N85" s="4"/>
      <c r="O85" s="4"/>
      <c r="P85" s="4"/>
      <c r="Q85" s="3"/>
      <c r="R85" s="4"/>
      <c r="S85" s="4"/>
      <c r="T85" s="4"/>
      <c r="U85" s="4"/>
      <c r="V85" s="4"/>
      <c r="W85" s="27"/>
      <c r="X85" s="4"/>
      <c r="Z85" s="28"/>
      <c r="AA85" s="28"/>
      <c r="AB85" s="28"/>
    </row>
    <row r="86" spans="6:28" x14ac:dyDescent="0.25">
      <c r="F86" s="4"/>
      <c r="G86" s="3"/>
      <c r="H86" s="3"/>
      <c r="I86" s="4"/>
      <c r="J86" s="1"/>
      <c r="K86" s="29"/>
      <c r="L86" s="29"/>
      <c r="N86" s="4"/>
      <c r="O86" s="1"/>
      <c r="P86" s="1"/>
      <c r="Q86" s="4"/>
      <c r="R86" s="4"/>
      <c r="S86" s="4"/>
      <c r="T86" s="4"/>
      <c r="U86" s="4"/>
      <c r="V86" s="4"/>
      <c r="W86" s="27"/>
      <c r="X86" s="4"/>
      <c r="Z86" s="28"/>
      <c r="AA86" s="28"/>
      <c r="AB86" s="28"/>
    </row>
    <row r="87" spans="6:28" x14ac:dyDescent="0.25">
      <c r="H87" s="15"/>
      <c r="I87" s="4"/>
      <c r="J87" s="1"/>
      <c r="R87" s="4"/>
      <c r="S87" s="4"/>
      <c r="T87" s="4"/>
      <c r="U87" s="4"/>
      <c r="Z87" s="28"/>
      <c r="AA87" s="28"/>
      <c r="AB87" s="28"/>
    </row>
    <row r="88" spans="6:28" x14ac:dyDescent="0.25">
      <c r="I88" s="4"/>
      <c r="J88" s="1"/>
      <c r="N88" s="21"/>
      <c r="O88" s="21"/>
      <c r="P88" s="21"/>
      <c r="Q88" s="21"/>
      <c r="R88" s="4"/>
      <c r="S88" s="4"/>
      <c r="T88" s="4"/>
      <c r="U88" s="4"/>
      <c r="V88" s="3"/>
      <c r="W88" s="3"/>
      <c r="X88" s="3"/>
      <c r="Z88" s="28"/>
      <c r="AA88" s="28"/>
      <c r="AB88" s="28"/>
    </row>
    <row r="89" spans="6:28" x14ac:dyDescent="0.25">
      <c r="I89" s="4"/>
      <c r="J89" s="1"/>
      <c r="N89" s="21"/>
      <c r="O89" s="1"/>
      <c r="P89" s="1"/>
      <c r="Q89" s="21"/>
      <c r="V89" s="3"/>
      <c r="W89" s="3"/>
      <c r="X89" s="3"/>
    </row>
    <row r="90" spans="6:28" x14ac:dyDescent="0.25">
      <c r="I90" s="4"/>
      <c r="J90" s="1"/>
      <c r="N90" s="21"/>
      <c r="O90" s="21"/>
      <c r="P90" s="21"/>
      <c r="Q90" s="21"/>
      <c r="R90" s="4"/>
      <c r="S90" s="4"/>
      <c r="T90" s="4"/>
      <c r="U90" s="4"/>
      <c r="V90" s="3"/>
      <c r="W90" s="3"/>
      <c r="X90" s="3"/>
    </row>
    <row r="91" spans="6:28" x14ac:dyDescent="0.25">
      <c r="I91" s="4"/>
      <c r="J91" s="1"/>
      <c r="N91" s="21"/>
      <c r="O91" s="21"/>
      <c r="P91" s="21"/>
      <c r="Q91" s="21"/>
      <c r="V91" s="3"/>
      <c r="W91" s="3"/>
      <c r="X91" s="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FD826-D4D0-457C-AC8A-868B458B6EC2}">
  <sheetPr codeName="Sheet11"/>
  <dimension ref="A1:Z39"/>
  <sheetViews>
    <sheetView tabSelected="1" topLeftCell="B1" zoomScale="75" zoomScaleNormal="75" workbookViewId="0">
      <selection activeCell="J18" sqref="J18"/>
    </sheetView>
  </sheetViews>
  <sheetFormatPr defaultRowHeight="15" x14ac:dyDescent="0.25"/>
  <cols>
    <col min="2" max="2" width="27.140625" bestFit="1" customWidth="1"/>
    <col min="3" max="3" width="17.42578125" customWidth="1"/>
    <col min="4" max="4" width="13.28515625" customWidth="1"/>
    <col min="5" max="5" width="9.140625" customWidth="1"/>
    <col min="8" max="8" width="15.5703125" customWidth="1"/>
    <col min="9" max="9" width="11.42578125" bestFit="1" customWidth="1"/>
    <col min="10" max="11" width="16.7109375" customWidth="1"/>
    <col min="12" max="12" width="13.28515625" customWidth="1"/>
    <col min="13" max="13" width="21.28515625" customWidth="1"/>
    <col min="14" max="14" width="16.85546875" customWidth="1"/>
    <col min="15" max="15" width="24.7109375" bestFit="1" customWidth="1"/>
    <col min="16" max="16" width="15" customWidth="1"/>
    <col min="17" max="17" width="17.42578125" customWidth="1"/>
    <col min="18" max="18" width="17.140625" customWidth="1"/>
    <col min="19" max="19" width="12.7109375" customWidth="1"/>
    <col min="20" max="20" width="11.28515625" customWidth="1"/>
    <col min="21" max="21" width="12.140625" customWidth="1"/>
    <col min="22" max="22" width="14.7109375" customWidth="1"/>
    <col min="23" max="23" width="11" customWidth="1"/>
    <col min="25" max="27" width="10.28515625" bestFit="1" customWidth="1"/>
    <col min="28" max="30" width="11.42578125" customWidth="1"/>
    <col min="31" max="36" width="12" customWidth="1"/>
    <col min="37" max="37" width="12" bestFit="1" customWidth="1"/>
    <col min="38" max="38" width="12.5703125" bestFit="1" customWidth="1"/>
    <col min="39" max="39" width="11.42578125" customWidth="1"/>
    <col min="45" max="45" width="12" bestFit="1" customWidth="1"/>
    <col min="47" max="47" width="10.5703125" bestFit="1" customWidth="1"/>
    <col min="53" max="53" width="12" bestFit="1" customWidth="1"/>
    <col min="55" max="55" width="10.5703125" bestFit="1" customWidth="1"/>
  </cols>
  <sheetData>
    <row r="1" spans="1:26" x14ac:dyDescent="0.25">
      <c r="C1" s="1" t="s">
        <v>51</v>
      </c>
    </row>
    <row r="2" spans="1:26" x14ac:dyDescent="0.25">
      <c r="Q2" s="2"/>
    </row>
    <row r="3" spans="1:26" x14ac:dyDescent="0.25">
      <c r="K3" t="s">
        <v>141</v>
      </c>
      <c r="O3" s="2"/>
      <c r="P3" s="2"/>
      <c r="Q3" s="2"/>
      <c r="R3" s="2"/>
      <c r="S3" s="2"/>
      <c r="T3" s="2"/>
      <c r="U3" s="2"/>
      <c r="V3" s="2"/>
      <c r="Y3" s="2"/>
      <c r="Z3" s="2"/>
    </row>
    <row r="4" spans="1:26" x14ac:dyDescent="0.25">
      <c r="A4">
        <v>0</v>
      </c>
      <c r="B4" t="s">
        <v>1</v>
      </c>
      <c r="C4">
        <v>800</v>
      </c>
      <c r="D4">
        <f>INT(1000000/(C4+41)-41)</f>
        <v>1148</v>
      </c>
      <c r="K4">
        <v>900</v>
      </c>
      <c r="L4">
        <f>INT(1000000/(K4+41)-41)</f>
        <v>1021</v>
      </c>
      <c r="O4" s="6"/>
      <c r="P4" s="6"/>
      <c r="Q4" s="1"/>
      <c r="R4" s="1"/>
      <c r="S4" s="1"/>
      <c r="T4" s="6"/>
      <c r="U4" s="6"/>
      <c r="V4" s="6"/>
      <c r="W4" s="6"/>
    </row>
    <row r="5" spans="1:26" x14ac:dyDescent="0.25">
      <c r="A5">
        <v>1</v>
      </c>
      <c r="B5" t="s">
        <v>2</v>
      </c>
      <c r="C5">
        <v>801</v>
      </c>
      <c r="D5">
        <f t="shared" ref="D5:D35" si="0">INT(1000000/(C5+41)-41)</f>
        <v>1146</v>
      </c>
      <c r="H5" t="s">
        <v>131</v>
      </c>
      <c r="K5">
        <v>901</v>
      </c>
      <c r="L5">
        <f t="shared" ref="L5:L35" si="1">INT(1000000/(K5+41)-41)</f>
        <v>1020</v>
      </c>
      <c r="N5" t="s">
        <v>142</v>
      </c>
      <c r="O5" s="6"/>
      <c r="P5" s="6"/>
      <c r="Q5" s="1"/>
      <c r="R5" s="1"/>
      <c r="S5" s="1"/>
      <c r="T5" s="6"/>
      <c r="U5" s="6"/>
      <c r="V5" s="6"/>
      <c r="W5" s="6"/>
    </row>
    <row r="6" spans="1:26" x14ac:dyDescent="0.25">
      <c r="A6">
        <v>2</v>
      </c>
      <c r="B6" t="s">
        <v>3</v>
      </c>
      <c r="C6">
        <v>802</v>
      </c>
      <c r="D6">
        <f t="shared" si="0"/>
        <v>1145</v>
      </c>
      <c r="H6" t="s">
        <v>140</v>
      </c>
      <c r="K6">
        <v>902</v>
      </c>
      <c r="L6">
        <f t="shared" si="1"/>
        <v>1019</v>
      </c>
      <c r="N6" t="s">
        <v>143</v>
      </c>
      <c r="O6" s="6"/>
      <c r="P6" s="6"/>
      <c r="Q6" s="1"/>
      <c r="R6" s="1"/>
      <c r="S6" s="1"/>
      <c r="T6" s="6"/>
      <c r="U6" s="6"/>
      <c r="V6" s="6"/>
      <c r="W6" s="6"/>
    </row>
    <row r="7" spans="1:26" x14ac:dyDescent="0.25">
      <c r="A7">
        <v>3</v>
      </c>
      <c r="B7" t="s">
        <v>4</v>
      </c>
      <c r="C7">
        <v>803</v>
      </c>
      <c r="D7">
        <f t="shared" si="0"/>
        <v>1143</v>
      </c>
      <c r="H7" t="s">
        <v>132</v>
      </c>
      <c r="K7">
        <v>903</v>
      </c>
      <c r="L7">
        <f t="shared" si="1"/>
        <v>1018</v>
      </c>
      <c r="R7" s="6"/>
      <c r="S7" s="6"/>
      <c r="T7" s="6"/>
      <c r="U7" s="6"/>
      <c r="V7" s="6"/>
      <c r="W7" s="6"/>
    </row>
    <row r="8" spans="1:26" x14ac:dyDescent="0.25">
      <c r="A8">
        <v>4</v>
      </c>
      <c r="B8" t="s">
        <v>5</v>
      </c>
      <c r="C8">
        <v>804</v>
      </c>
      <c r="D8">
        <f t="shared" si="0"/>
        <v>1142</v>
      </c>
      <c r="G8">
        <v>0</v>
      </c>
      <c r="H8" t="s">
        <v>133</v>
      </c>
      <c r="I8" s="51">
        <v>1000</v>
      </c>
      <c r="K8">
        <v>904</v>
      </c>
      <c r="L8">
        <f t="shared" si="1"/>
        <v>1017</v>
      </c>
      <c r="N8" t="s">
        <v>133</v>
      </c>
      <c r="O8" s="51">
        <v>1000</v>
      </c>
      <c r="P8" s="6"/>
      <c r="Q8" s="6"/>
      <c r="R8" s="6"/>
      <c r="S8" s="1"/>
      <c r="T8" s="6"/>
      <c r="U8" s="6"/>
      <c r="V8" s="6"/>
      <c r="W8" s="6"/>
    </row>
    <row r="9" spans="1:26" x14ac:dyDescent="0.25">
      <c r="A9">
        <v>5</v>
      </c>
      <c r="B9" t="s">
        <v>6</v>
      </c>
      <c r="C9">
        <v>805</v>
      </c>
      <c r="D9">
        <f t="shared" si="0"/>
        <v>1141</v>
      </c>
      <c r="G9">
        <v>1</v>
      </c>
      <c r="H9" t="s">
        <v>134</v>
      </c>
      <c r="I9" s="51">
        <v>500</v>
      </c>
      <c r="K9">
        <v>905</v>
      </c>
      <c r="L9">
        <f t="shared" si="1"/>
        <v>1016</v>
      </c>
      <c r="N9" t="s">
        <v>134</v>
      </c>
      <c r="O9" s="51">
        <v>500</v>
      </c>
      <c r="P9" s="6"/>
      <c r="Q9" s="6"/>
      <c r="R9" s="6"/>
      <c r="S9" s="1"/>
      <c r="T9" s="6"/>
      <c r="U9" s="6"/>
      <c r="V9" s="6"/>
      <c r="W9" s="6"/>
    </row>
    <row r="10" spans="1:26" x14ac:dyDescent="0.25">
      <c r="A10">
        <v>6</v>
      </c>
      <c r="B10" t="s">
        <v>7</v>
      </c>
      <c r="C10">
        <v>806</v>
      </c>
      <c r="D10">
        <f t="shared" si="0"/>
        <v>1139</v>
      </c>
      <c r="G10">
        <v>2</v>
      </c>
      <c r="H10" t="s">
        <v>135</v>
      </c>
      <c r="I10" s="51">
        <v>807</v>
      </c>
      <c r="K10">
        <v>906</v>
      </c>
      <c r="L10">
        <f t="shared" si="1"/>
        <v>1014</v>
      </c>
      <c r="N10" t="s">
        <v>135</v>
      </c>
      <c r="O10" s="51">
        <v>807</v>
      </c>
      <c r="P10" s="19"/>
      <c r="Q10" s="7"/>
      <c r="R10" s="6"/>
      <c r="S10" s="1"/>
      <c r="W10" s="6"/>
      <c r="Y10" s="2"/>
      <c r="Z10" s="2"/>
    </row>
    <row r="11" spans="1:26" x14ac:dyDescent="0.25">
      <c r="A11">
        <v>7</v>
      </c>
      <c r="B11" t="s">
        <v>8</v>
      </c>
      <c r="C11" s="52">
        <v>807</v>
      </c>
      <c r="D11" s="52">
        <f t="shared" si="0"/>
        <v>1138</v>
      </c>
      <c r="G11">
        <v>3</v>
      </c>
      <c r="H11" t="s">
        <v>136</v>
      </c>
      <c r="I11" s="51">
        <v>569</v>
      </c>
      <c r="K11" s="52">
        <v>907</v>
      </c>
      <c r="L11" s="52">
        <f t="shared" si="1"/>
        <v>1013</v>
      </c>
      <c r="N11" t="s">
        <v>136</v>
      </c>
      <c r="O11" s="51">
        <v>569</v>
      </c>
      <c r="P11" s="19"/>
      <c r="Q11" s="3"/>
      <c r="W11" s="6"/>
    </row>
    <row r="12" spans="1:26" x14ac:dyDescent="0.25">
      <c r="A12">
        <v>8</v>
      </c>
      <c r="B12" t="s">
        <v>9</v>
      </c>
      <c r="C12">
        <v>550</v>
      </c>
      <c r="D12">
        <f t="shared" si="0"/>
        <v>1651</v>
      </c>
      <c r="G12">
        <v>4</v>
      </c>
      <c r="H12" t="s">
        <v>139</v>
      </c>
      <c r="I12" s="51">
        <v>1672488000</v>
      </c>
      <c r="K12">
        <v>908</v>
      </c>
      <c r="L12">
        <f t="shared" si="1"/>
        <v>1012</v>
      </c>
      <c r="N12" t="s">
        <v>139</v>
      </c>
      <c r="O12" s="51">
        <v>1672488000</v>
      </c>
      <c r="W12" s="6"/>
    </row>
    <row r="13" spans="1:26" x14ac:dyDescent="0.25">
      <c r="A13">
        <v>9</v>
      </c>
      <c r="B13" t="s">
        <v>10</v>
      </c>
      <c r="C13">
        <v>540</v>
      </c>
      <c r="D13">
        <f t="shared" si="0"/>
        <v>1680</v>
      </c>
      <c r="G13">
        <v>5</v>
      </c>
      <c r="H13" t="s">
        <v>137</v>
      </c>
      <c r="I13" s="52">
        <v>807</v>
      </c>
      <c r="K13">
        <v>909</v>
      </c>
      <c r="L13">
        <f t="shared" si="1"/>
        <v>1011</v>
      </c>
      <c r="N13" t="s">
        <v>137</v>
      </c>
      <c r="O13" s="52">
        <f>K11</f>
        <v>907</v>
      </c>
      <c r="W13" s="6"/>
    </row>
    <row r="14" spans="1:26" x14ac:dyDescent="0.25">
      <c r="A14">
        <v>10</v>
      </c>
      <c r="B14" t="s">
        <v>11</v>
      </c>
      <c r="C14">
        <v>1260</v>
      </c>
      <c r="D14">
        <f t="shared" si="0"/>
        <v>727</v>
      </c>
      <c r="G14">
        <v>6</v>
      </c>
      <c r="H14" t="s">
        <v>138</v>
      </c>
      <c r="I14" s="52">
        <v>1138</v>
      </c>
      <c r="K14">
        <v>1260</v>
      </c>
      <c r="L14">
        <f t="shared" si="1"/>
        <v>727</v>
      </c>
      <c r="N14" t="s">
        <v>138</v>
      </c>
      <c r="O14" s="52">
        <f>L11</f>
        <v>1013</v>
      </c>
      <c r="W14" s="6"/>
    </row>
    <row r="15" spans="1:26" x14ac:dyDescent="0.25">
      <c r="A15">
        <v>11</v>
      </c>
      <c r="B15" t="s">
        <v>12</v>
      </c>
      <c r="C15">
        <v>1290</v>
      </c>
      <c r="D15">
        <f t="shared" si="0"/>
        <v>710</v>
      </c>
      <c r="K15">
        <v>1290</v>
      </c>
      <c r="L15">
        <f t="shared" si="1"/>
        <v>710</v>
      </c>
      <c r="W15" s="6"/>
    </row>
    <row r="16" spans="1:26" x14ac:dyDescent="0.25">
      <c r="A16">
        <v>12</v>
      </c>
      <c r="B16" t="s">
        <v>13</v>
      </c>
      <c r="C16">
        <v>880</v>
      </c>
      <c r="D16">
        <f t="shared" si="0"/>
        <v>1044</v>
      </c>
      <c r="I16">
        <v>80000</v>
      </c>
      <c r="K16">
        <v>880</v>
      </c>
      <c r="L16">
        <f t="shared" si="1"/>
        <v>1044</v>
      </c>
      <c r="W16" s="6"/>
    </row>
    <row r="17" spans="1:26" x14ac:dyDescent="0.25">
      <c r="A17">
        <v>13</v>
      </c>
      <c r="B17" t="s">
        <v>14</v>
      </c>
      <c r="C17">
        <v>1410</v>
      </c>
      <c r="D17">
        <f t="shared" si="0"/>
        <v>648</v>
      </c>
      <c r="H17" s="1"/>
      <c r="I17">
        <v>64.3</v>
      </c>
      <c r="K17">
        <v>1410</v>
      </c>
      <c r="L17">
        <f t="shared" si="1"/>
        <v>648</v>
      </c>
      <c r="W17" s="6"/>
      <c r="Y17" s="2"/>
      <c r="Z17" s="2"/>
    </row>
    <row r="18" spans="1:26" x14ac:dyDescent="0.25">
      <c r="A18">
        <v>14</v>
      </c>
      <c r="B18" t="s">
        <v>15</v>
      </c>
      <c r="C18">
        <v>1080</v>
      </c>
      <c r="D18">
        <f t="shared" si="0"/>
        <v>851</v>
      </c>
      <c r="K18">
        <v>1080</v>
      </c>
      <c r="L18">
        <f t="shared" si="1"/>
        <v>851</v>
      </c>
      <c r="M18" s="26"/>
      <c r="W18" s="6"/>
    </row>
    <row r="19" spans="1:26" x14ac:dyDescent="0.25">
      <c r="A19">
        <v>15</v>
      </c>
      <c r="B19" t="s">
        <v>16</v>
      </c>
      <c r="C19">
        <v>850</v>
      </c>
      <c r="D19">
        <f t="shared" si="0"/>
        <v>1081</v>
      </c>
      <c r="I19" s="4">
        <f>I16*I17</f>
        <v>5144000</v>
      </c>
      <c r="K19">
        <v>850</v>
      </c>
      <c r="L19">
        <f t="shared" si="1"/>
        <v>1081</v>
      </c>
      <c r="W19" s="6"/>
    </row>
    <row r="20" spans="1:26" x14ac:dyDescent="0.25">
      <c r="A20">
        <v>16</v>
      </c>
      <c r="B20" t="s">
        <v>17</v>
      </c>
      <c r="C20">
        <v>1390</v>
      </c>
      <c r="D20">
        <f t="shared" si="0"/>
        <v>657</v>
      </c>
      <c r="K20">
        <v>1390</v>
      </c>
      <c r="L20">
        <f t="shared" si="1"/>
        <v>657</v>
      </c>
      <c r="W20" s="6"/>
    </row>
    <row r="21" spans="1:26" x14ac:dyDescent="0.25">
      <c r="A21">
        <v>17</v>
      </c>
      <c r="B21" t="s">
        <v>17</v>
      </c>
      <c r="C21">
        <v>980</v>
      </c>
      <c r="D21">
        <f t="shared" si="0"/>
        <v>938</v>
      </c>
      <c r="K21">
        <v>980</v>
      </c>
      <c r="L21">
        <f t="shared" si="1"/>
        <v>938</v>
      </c>
      <c r="W21" s="6"/>
    </row>
    <row r="22" spans="1:26" x14ac:dyDescent="0.25">
      <c r="A22">
        <v>18</v>
      </c>
      <c r="B22" t="s">
        <v>18</v>
      </c>
      <c r="C22">
        <v>840</v>
      </c>
      <c r="D22">
        <f t="shared" si="0"/>
        <v>1094</v>
      </c>
      <c r="K22">
        <v>840</v>
      </c>
      <c r="L22">
        <f t="shared" si="1"/>
        <v>1094</v>
      </c>
      <c r="W22" s="6"/>
    </row>
    <row r="23" spans="1:26" x14ac:dyDescent="0.25">
      <c r="A23">
        <v>19</v>
      </c>
      <c r="B23" t="s">
        <v>19</v>
      </c>
      <c r="C23">
        <v>1320</v>
      </c>
      <c r="D23">
        <f t="shared" si="0"/>
        <v>693</v>
      </c>
      <c r="H23">
        <v>183</v>
      </c>
      <c r="K23">
        <v>1320</v>
      </c>
      <c r="L23">
        <f t="shared" si="1"/>
        <v>693</v>
      </c>
    </row>
    <row r="24" spans="1:26" x14ac:dyDescent="0.25">
      <c r="A24">
        <v>20</v>
      </c>
      <c r="B24" t="s">
        <v>20</v>
      </c>
      <c r="C24">
        <v>1280</v>
      </c>
      <c r="D24">
        <f t="shared" si="0"/>
        <v>716</v>
      </c>
      <c r="H24">
        <v>89</v>
      </c>
      <c r="I24" s="76">
        <f>H24/H23-1</f>
        <v>-0.51366120218579236</v>
      </c>
      <c r="K24">
        <v>1280</v>
      </c>
      <c r="L24">
        <f t="shared" si="1"/>
        <v>716</v>
      </c>
    </row>
    <row r="25" spans="1:26" x14ac:dyDescent="0.25">
      <c r="A25">
        <v>21</v>
      </c>
      <c r="B25" t="s">
        <v>21</v>
      </c>
      <c r="C25">
        <v>540</v>
      </c>
      <c r="D25">
        <f t="shared" si="0"/>
        <v>1680</v>
      </c>
      <c r="H25">
        <v>129</v>
      </c>
      <c r="I25" s="76">
        <f t="shared" ref="I25:I26" si="2">H25/H24-1</f>
        <v>0.449438202247191</v>
      </c>
      <c r="K25">
        <v>540</v>
      </c>
      <c r="L25">
        <f t="shared" si="1"/>
        <v>1680</v>
      </c>
    </row>
    <row r="26" spans="1:26" x14ac:dyDescent="0.25">
      <c r="A26">
        <v>22</v>
      </c>
      <c r="B26" t="s">
        <v>95</v>
      </c>
      <c r="C26">
        <v>790</v>
      </c>
      <c r="D26">
        <f t="shared" si="0"/>
        <v>1162</v>
      </c>
      <c r="H26">
        <v>82</v>
      </c>
      <c r="I26" s="76">
        <f t="shared" si="2"/>
        <v>-0.36434108527131781</v>
      </c>
      <c r="K26">
        <v>790</v>
      </c>
      <c r="L26">
        <f t="shared" si="1"/>
        <v>1162</v>
      </c>
    </row>
    <row r="27" spans="1:26" x14ac:dyDescent="0.25">
      <c r="A27">
        <v>23</v>
      </c>
      <c r="B27" t="s">
        <v>96</v>
      </c>
      <c r="C27">
        <v>1300</v>
      </c>
      <c r="D27">
        <f t="shared" si="0"/>
        <v>704</v>
      </c>
      <c r="K27">
        <v>1300</v>
      </c>
      <c r="L27">
        <f t="shared" si="1"/>
        <v>704</v>
      </c>
    </row>
    <row r="28" spans="1:26" x14ac:dyDescent="0.25">
      <c r="A28">
        <v>24</v>
      </c>
      <c r="B28" t="s">
        <v>97</v>
      </c>
      <c r="C28">
        <v>1300</v>
      </c>
      <c r="D28">
        <f t="shared" si="0"/>
        <v>704</v>
      </c>
      <c r="K28">
        <v>1300</v>
      </c>
      <c r="L28">
        <f t="shared" si="1"/>
        <v>704</v>
      </c>
    </row>
    <row r="29" spans="1:26" x14ac:dyDescent="0.25">
      <c r="A29">
        <v>25</v>
      </c>
      <c r="B29" t="s">
        <v>98</v>
      </c>
      <c r="C29">
        <v>980</v>
      </c>
      <c r="D29">
        <f t="shared" si="0"/>
        <v>938</v>
      </c>
      <c r="K29">
        <v>980</v>
      </c>
      <c r="L29">
        <f t="shared" si="1"/>
        <v>938</v>
      </c>
    </row>
    <row r="30" spans="1:26" x14ac:dyDescent="0.25">
      <c r="A30">
        <v>26</v>
      </c>
      <c r="B30" t="s">
        <v>99</v>
      </c>
      <c r="C30">
        <v>860</v>
      </c>
      <c r="D30">
        <f t="shared" si="0"/>
        <v>1068</v>
      </c>
      <c r="K30">
        <v>860</v>
      </c>
      <c r="L30">
        <f t="shared" si="1"/>
        <v>1068</v>
      </c>
    </row>
    <row r="31" spans="1:26" x14ac:dyDescent="0.25">
      <c r="A31">
        <v>27</v>
      </c>
      <c r="B31" t="s">
        <v>22</v>
      </c>
      <c r="C31">
        <v>630</v>
      </c>
      <c r="D31">
        <f t="shared" si="0"/>
        <v>1449</v>
      </c>
      <c r="H31" s="77">
        <v>1671948000</v>
      </c>
      <c r="K31">
        <v>630</v>
      </c>
      <c r="L31">
        <f t="shared" si="1"/>
        <v>1449</v>
      </c>
    </row>
    <row r="32" spans="1:26" x14ac:dyDescent="0.25">
      <c r="A32">
        <v>28</v>
      </c>
      <c r="B32" t="s">
        <v>23</v>
      </c>
      <c r="C32">
        <v>1430</v>
      </c>
      <c r="D32">
        <f t="shared" si="0"/>
        <v>638</v>
      </c>
      <c r="K32">
        <v>1430</v>
      </c>
      <c r="L32">
        <f t="shared" si="1"/>
        <v>638</v>
      </c>
    </row>
    <row r="33" spans="1:12" x14ac:dyDescent="0.25">
      <c r="A33">
        <v>29</v>
      </c>
      <c r="B33" t="s">
        <v>24</v>
      </c>
      <c r="C33">
        <v>970</v>
      </c>
      <c r="D33">
        <f t="shared" si="0"/>
        <v>948</v>
      </c>
      <c r="J33" s="9"/>
      <c r="K33">
        <v>970</v>
      </c>
      <c r="L33">
        <f t="shared" si="1"/>
        <v>948</v>
      </c>
    </row>
    <row r="34" spans="1:12" x14ac:dyDescent="0.25">
      <c r="A34">
        <v>30</v>
      </c>
      <c r="B34" t="s">
        <v>25</v>
      </c>
      <c r="C34">
        <v>930</v>
      </c>
      <c r="D34">
        <f t="shared" si="0"/>
        <v>988</v>
      </c>
      <c r="J34" s="1"/>
      <c r="K34">
        <v>930</v>
      </c>
      <c r="L34">
        <f t="shared" si="1"/>
        <v>988</v>
      </c>
    </row>
    <row r="35" spans="1:12" x14ac:dyDescent="0.25">
      <c r="A35">
        <v>31</v>
      </c>
      <c r="B35" t="s">
        <v>26</v>
      </c>
      <c r="C35">
        <v>1440</v>
      </c>
      <c r="D35">
        <f t="shared" si="0"/>
        <v>634</v>
      </c>
      <c r="J35" s="1"/>
      <c r="K35">
        <v>1440</v>
      </c>
      <c r="L35">
        <f t="shared" si="1"/>
        <v>634</v>
      </c>
    </row>
    <row r="36" spans="1:12" x14ac:dyDescent="0.25">
      <c r="B36" t="s">
        <v>27</v>
      </c>
      <c r="C36">
        <v>1111</v>
      </c>
      <c r="D36">
        <f>INT(1000000/C36)</f>
        <v>900</v>
      </c>
      <c r="J36" s="1"/>
      <c r="K36" s="8"/>
    </row>
    <row r="37" spans="1:12" x14ac:dyDescent="0.25">
      <c r="C37">
        <v>2001</v>
      </c>
      <c r="D37">
        <f>C37*C36/1000</f>
        <v>2223.1109999999999</v>
      </c>
      <c r="J37" s="1"/>
      <c r="K37" s="8"/>
    </row>
    <row r="38" spans="1:12" x14ac:dyDescent="0.25">
      <c r="C38">
        <f>2223</f>
        <v>2223</v>
      </c>
      <c r="D38">
        <v>2001</v>
      </c>
      <c r="J38" s="1"/>
      <c r="K38" s="8"/>
    </row>
    <row r="39" spans="1:12" x14ac:dyDescent="0.25">
      <c r="C39" s="17">
        <f>C38/C37</f>
        <v>1.1109445277361318</v>
      </c>
      <c r="D39" s="17">
        <f>D38/D37</f>
        <v>0.90009000900090019</v>
      </c>
      <c r="J39" s="2"/>
      <c r="K39" s="3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</vt:i4>
      </vt:variant>
    </vt:vector>
  </HeadingPairs>
  <TitlesOfParts>
    <vt:vector size="13" baseType="lpstr">
      <vt:lpstr>test1BasicMargining</vt:lpstr>
      <vt:lpstr>test2BasicMargining</vt:lpstr>
      <vt:lpstr>test3oddsChange</vt:lpstr>
      <vt:lpstr>test4Redemptions</vt:lpstr>
      <vt:lpstr>Test5BigBet</vt:lpstr>
      <vt:lpstr>test6OracleVoting</vt:lpstr>
      <vt:lpstr>test7LPRevenue</vt:lpstr>
      <vt:lpstr>test8OracleRevenue</vt:lpstr>
      <vt:lpstr>test9Oracle2</vt:lpstr>
      <vt:lpstr>test10oracleRewards</vt:lpstr>
      <vt:lpstr>test10bitDecoding</vt:lpstr>
      <vt:lpstr>test1BasicMargining!Print_Area</vt:lpstr>
      <vt:lpstr>test2BasicMargining!Print_Area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</dc:creator>
  <cp:lastModifiedBy>Eric</cp:lastModifiedBy>
  <cp:lastPrinted>2021-03-09T17:35:38Z</cp:lastPrinted>
  <dcterms:created xsi:type="dcterms:W3CDTF">2019-05-02T19:42:25Z</dcterms:created>
  <dcterms:modified xsi:type="dcterms:W3CDTF">2023-07-31T01:59:12Z</dcterms:modified>
</cp:coreProperties>
</file>